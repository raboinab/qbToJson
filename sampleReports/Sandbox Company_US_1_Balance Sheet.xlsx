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</calcChain>
</file>

<file path=xl/sharedStrings.xml><?xml version="1.0" encoding="utf-8"?>
<sst xmlns="http://schemas.openxmlformats.org/spreadsheetml/2006/main" count="58" uniqueCount="58">
  <si>
    <t>Balance Sheet</t>
  </si>
  <si>
    <t>Sandbox Company_US_1</t>
  </si>
  <si>
    <t>As of July 27, 2025</t>
  </si>
  <si>
    <t>Assets</t>
  </si>
  <si>
    <t>Current Assets</t>
  </si>
  <si>
    <t>Bank Accounts</t>
  </si>
  <si>
    <t>Checking</t>
  </si>
  <si>
    <t>Savings</t>
  </si>
  <si>
    <t>Total for Bank Accounts</t>
  </si>
  <si>
    <t>Accounts Receivable</t>
  </si>
  <si>
    <t>Accounts Receivable (A/R)</t>
  </si>
  <si>
    <t>Total for Accounts Receivable</t>
  </si>
  <si>
    <t>Other Current Assets</t>
  </si>
  <si>
    <t>Undeposited Funds</t>
  </si>
  <si>
    <t>Inventory Asset</t>
  </si>
  <si>
    <t>Total for Other Current Assets</t>
  </si>
  <si>
    <t>Total for Current Assets</t>
  </si>
  <si>
    <t>Fixed Assets</t>
  </si>
  <si>
    <t>Truck</t>
  </si>
  <si>
    <t>Original Cost</t>
  </si>
  <si>
    <t>Total for Truck</t>
  </si>
  <si>
    <t>Total for Fixed Assets</t>
  </si>
  <si>
    <t>Other Assets</t>
  </si>
  <si>
    <t>Total for Assets</t>
  </si>
  <si>
    <t>Liabilities and Equity</t>
  </si>
  <si>
    <t>Liabilities</t>
  </si>
  <si>
    <t>Current Liabilities</t>
  </si>
  <si>
    <t>Accounts Payable</t>
  </si>
  <si>
    <t>Accounts Payable (A/P)</t>
  </si>
  <si>
    <t>Total for Accounts Payable</t>
  </si>
  <si>
    <t>Credit Cards</t>
  </si>
  <si>
    <t>Mastercard</t>
  </si>
  <si>
    <t>Total for Credit Cards</t>
  </si>
  <si>
    <t>Other Current Liabilities</t>
  </si>
  <si>
    <t>Loan Payable</t>
  </si>
  <si>
    <t>Board of Equalization Payable</t>
  </si>
  <si>
    <t>Arizona Dept. of Revenue Payable</t>
  </si>
  <si>
    <t>Total for Other Current Liabilities</t>
  </si>
  <si>
    <t>Total for Current Liabilities</t>
  </si>
  <si>
    <t>Long-term Liabilities</t>
  </si>
  <si>
    <t>Notes Payable</t>
  </si>
  <si>
    <t>Total for Long-term Liabilities</t>
  </si>
  <si>
    <t>Total for Liabilities</t>
  </si>
  <si>
    <t>Equity</t>
  </si>
  <si>
    <t>Net Income</t>
  </si>
  <si>
    <t>Retained Earnings</t>
  </si>
  <si>
    <t>Opening Balance Equity</t>
  </si>
  <si>
    <t>Total for Equity</t>
  </si>
  <si>
    <t>Total for Liabilities and Equity</t>
  </si>
  <si>
    <t>Distribution account</t>
  </si>
  <si>
    <t>January 2025</t>
  </si>
  <si>
    <t>February 2025</t>
  </si>
  <si>
    <t>March 2025</t>
  </si>
  <si>
    <t>April 2025</t>
  </si>
  <si>
    <t>May 2025</t>
  </si>
  <si>
    <t>June 2025</t>
  </si>
  <si>
    <t>Jul 1 - Jul 27 2025</t>
  </si>
  <si>
    <t>Accrual Basis Sunday, July 27, 2025 08:12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</si>
</sst>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55"/>
  <sheetViews>
    <sheetView tabSelected="1" workbookViewId="0" topLeftCell="A1"/>
  </sheetViews>
  <sheetFormatPr defaultColWidth="11.255" defaultRowHeight="16" outlineLevelRow="4"/>
  <cols>
    <col min="1" max="1" width="30.75" style="44" customWidth="1"/>
    <col min="2" max="2" width="11" style="44" customWidth="1"/>
    <col min="3" max="3" width="11.75" style="44" customWidth="1"/>
    <col min="4" max="4" width="9.25" style="44" customWidth="1"/>
    <col min="5" max="7" width="16.125" style="44" customWidth="1"/>
    <col min="8" max="8" width="17" style="44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8" ht="16">
      <c r="A5" s="46" t="s">
        <v>49</v>
      </c>
      <c r="B5" s="46" t="s">
        <v>50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55</v>
      </c>
      <c r="H5" s="46" t="s">
        <v>56</v>
      </c>
    </row>
    <row r="6" spans="1:8" ht="16">
      <c r="A6" s="35" t="s">
        <v>3</v>
      </c>
      <c r="B6" s="47"/>
      <c r="C6" s="47"/>
      <c r="D6" s="47"/>
      <c r="E6" s="47"/>
      <c r="F6" s="47"/>
      <c r="G6" s="47"/>
      <c r="H6" s="47"/>
    </row>
    <row r="7" spans="1:8" ht="16" outlineLevel="1">
      <c r="A7" s="36" t="s">
        <v>4</v>
      </c>
      <c r="B7" s="47"/>
      <c r="C7" s="47"/>
      <c r="D7" s="47"/>
      <c r="E7" s="47"/>
      <c r="F7" s="47"/>
      <c r="G7" s="47"/>
      <c r="H7" s="47"/>
    </row>
    <row r="8" spans="1:8" ht="16" outlineLevel="2">
      <c r="A8" s="37" t="s">
        <v>5</v>
      </c>
      <c r="B8" s="47"/>
      <c r="C8" s="47"/>
      <c r="D8" s="47"/>
      <c r="E8" s="47"/>
      <c r="F8" s="47"/>
      <c r="G8" s="47"/>
      <c r="H8" s="47"/>
    </row>
    <row r="9" spans="1:8" ht="16" outlineLevel="3">
      <c r="A9" s="38" t="s">
        <v>6</v>
      </c>
      <c r="B9" s="48">
        <v>0</v>
      </c>
      <c r="C9" s="48">
        <v>5000.0</v>
      </c>
      <c r="D9" s="48">
        <v>4700.0</v>
      </c>
      <c r="E9" s="48">
        <v>4625.0</v>
      </c>
      <c r="F9" s="48">
        <v>4179.36</v>
      </c>
      <c r="G9" s="48">
        <v>1560.0999999999995</v>
      </c>
      <c r="H9" s="48">
        <v>1200.9999999999995</v>
      </c>
    </row>
    <row r="10" spans="1:8" ht="16" outlineLevel="3">
      <c r="A10" s="38" t="s">
        <v>7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600.0</v>
      </c>
      <c r="H10" s="48">
        <v>800.0</v>
      </c>
    </row>
    <row r="11" spans="1:8" ht="16" outlineLevel="2">
      <c r="A11" s="39" t="s">
        <v>8</v>
      </c>
      <c r="B11" s="49">
        <f>B8+B9+B10</f>
        <v>0.0</v>
      </c>
      <c r="C11" s="49">
        <f>C8+C9+C10</f>
        <v>5000.0</v>
      </c>
      <c r="D11" s="49">
        <f>D8+D9+D10</f>
        <v>4700.0</v>
      </c>
      <c r="E11" s="49">
        <f>E8+E9+E10</f>
        <v>4625.0</v>
      </c>
      <c r="F11" s="49">
        <f>F8+F9+F10</f>
        <v>4179.36</v>
      </c>
      <c r="G11" s="49">
        <f>G8+G9+G10</f>
        <v>2160.0999999999995</v>
      </c>
      <c r="H11" s="49">
        <f>H8+H9+H10</f>
        <v>2000.9999999999995</v>
      </c>
    </row>
    <row r="12" spans="1:8" ht="16" outlineLevel="2">
      <c r="A12" s="37" t="s">
        <v>9</v>
      </c>
      <c r="B12" s="47"/>
      <c r="C12" s="47"/>
      <c r="D12" s="47"/>
      <c r="E12" s="47"/>
      <c r="F12" s="47"/>
      <c r="G12" s="47"/>
      <c r="H12" s="47"/>
    </row>
    <row r="13" spans="1:8" ht="16" outlineLevel="3">
      <c r="A13" s="38" t="s">
        <v>10</v>
      </c>
      <c r="B13" s="48">
        <v>0</v>
      </c>
      <c r="C13" s="48">
        <v>0</v>
      </c>
      <c r="D13" s="48">
        <v>401.75</v>
      </c>
      <c r="E13" s="48">
        <v>543.0</v>
      </c>
      <c r="F13" s="48">
        <v>1535.8</v>
      </c>
      <c r="G13" s="48">
        <v>6190.1900000000005</v>
      </c>
      <c r="H13" s="48">
        <v>5281.52</v>
      </c>
    </row>
    <row r="14" spans="1:8" ht="16" outlineLevel="2">
      <c r="A14" s="39" t="s">
        <v>11</v>
      </c>
      <c r="B14" s="49">
        <f>B12+B13</f>
        <v>0.0</v>
      </c>
      <c r="C14" s="49">
        <f>C12+C13</f>
        <v>0.0</v>
      </c>
      <c r="D14" s="49">
        <f>D12+D13</f>
        <v>401.75</v>
      </c>
      <c r="E14" s="49">
        <f>E12+E13</f>
        <v>543.0</v>
      </c>
      <c r="F14" s="49">
        <f>F12+F13</f>
        <v>1535.8</v>
      </c>
      <c r="G14" s="49">
        <f>G12+G13</f>
        <v>6190.1900000000005</v>
      </c>
      <c r="H14" s="49">
        <f>H12+H13</f>
        <v>5281.52</v>
      </c>
    </row>
    <row r="15" spans="1:8" ht="16" outlineLevel="2">
      <c r="A15" s="37" t="s">
        <v>12</v>
      </c>
      <c r="B15" s="47"/>
      <c r="C15" s="47"/>
      <c r="D15" s="47"/>
      <c r="E15" s="47"/>
      <c r="F15" s="47"/>
      <c r="G15" s="47"/>
      <c r="H15" s="47"/>
    </row>
    <row r="16" spans="1:8" ht="16" outlineLevel="3">
      <c r="A16" s="38" t="s">
        <v>13</v>
      </c>
      <c r="B16" s="48">
        <v>0</v>
      </c>
      <c r="C16" s="48">
        <v>0</v>
      </c>
      <c r="D16" s="48">
        <v>0</v>
      </c>
      <c r="E16" s="48">
        <v>226.75</v>
      </c>
      <c r="F16" s="48">
        <v>226.75</v>
      </c>
      <c r="G16" s="48">
        <v>1068.15</v>
      </c>
      <c r="H16" s="48">
        <v>2062.52</v>
      </c>
    </row>
    <row r="17" spans="1:8" ht="16" outlineLevel="3">
      <c r="A17" s="38" t="s">
        <v>14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596.25</v>
      </c>
    </row>
    <row r="18" spans="1:8" ht="16" outlineLevel="2">
      <c r="A18" s="39" t="s">
        <v>15</v>
      </c>
      <c r="B18" s="49">
        <f>B15+B16+B17</f>
        <v>0.0</v>
      </c>
      <c r="C18" s="49">
        <f>C15+C16+C17</f>
        <v>0.0</v>
      </c>
      <c r="D18" s="49">
        <f>D15+D16+D17</f>
        <v>0.0</v>
      </c>
      <c r="E18" s="49">
        <f>E15+E16+E17</f>
        <v>226.75</v>
      </c>
      <c r="F18" s="49">
        <f>F15+F16+F17</f>
        <v>226.75</v>
      </c>
      <c r="G18" s="49">
        <f>G15+G16+G17</f>
        <v>1068.15</v>
      </c>
      <c r="H18" s="49">
        <f>H15+H16+H17</f>
        <v>2658.77</v>
      </c>
    </row>
    <row r="19" spans="1:8" ht="16" outlineLevel="1">
      <c r="A19" s="40" t="s">
        <v>16</v>
      </c>
      <c r="B19" s="49">
        <f>B7+B11+B14+B18</f>
        <v>0.0</v>
      </c>
      <c r="C19" s="49">
        <f>C7+C11+C14+C18</f>
        <v>5000.0</v>
      </c>
      <c r="D19" s="49">
        <f>D7+D11+D14+D18</f>
        <v>5101.75</v>
      </c>
      <c r="E19" s="49">
        <f>E7+E11+E14+E18</f>
        <v>5394.75</v>
      </c>
      <c r="F19" s="49">
        <f>F7+F11+F14+F18</f>
        <v>5941.91</v>
      </c>
      <c r="G19" s="49">
        <f>G7+G11+G14+G18</f>
        <v>9418.44</v>
      </c>
      <c r="H19" s="49">
        <f>H7+H11+H14+H18</f>
        <v>9941.29</v>
      </c>
    </row>
    <row r="20" spans="1:8" ht="16" outlineLevel="1">
      <c r="A20" s="36" t="s">
        <v>17</v>
      </c>
      <c r="B20" s="47"/>
      <c r="C20" s="47"/>
      <c r="D20" s="47"/>
      <c r="E20" s="47"/>
      <c r="F20" s="47"/>
      <c r="G20" s="47"/>
      <c r="H20" s="47"/>
    </row>
    <row r="21" spans="1:8" ht="16" outlineLevel="2">
      <c r="A21" s="37" t="s">
        <v>18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</row>
    <row r="22" spans="1:8" ht="16" outlineLevel="3">
      <c r="A22" s="38" t="s">
        <v>19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13495.0</v>
      </c>
      <c r="H22" s="48">
        <v>13495.0</v>
      </c>
    </row>
    <row r="23" spans="1:8" ht="16" outlineLevel="2">
      <c r="A23" s="39" t="s">
        <v>20</v>
      </c>
      <c r="B23" s="49">
        <f>B21+B22</f>
        <v>0.0</v>
      </c>
      <c r="C23" s="49">
        <f>C21+C22</f>
        <v>0.0</v>
      </c>
      <c r="D23" s="49">
        <f>D21+D22</f>
        <v>0.0</v>
      </c>
      <c r="E23" s="49">
        <f>E21+E22</f>
        <v>0.0</v>
      </c>
      <c r="F23" s="49">
        <f>F21+F22</f>
        <v>0.0</v>
      </c>
      <c r="G23" s="49">
        <f>G21+G22</f>
        <v>13495.0</v>
      </c>
      <c r="H23" s="49">
        <f>H21+H22</f>
        <v>13495.0</v>
      </c>
    </row>
    <row r="24" spans="1:8" ht="16" outlineLevel="1">
      <c r="A24" s="40" t="s">
        <v>21</v>
      </c>
      <c r="B24" s="49">
        <f>B20+B23</f>
        <v>0.0</v>
      </c>
      <c r="C24" s="49">
        <f>C20+C23</f>
        <v>0.0</v>
      </c>
      <c r="D24" s="49">
        <f>D20+D23</f>
        <v>0.0</v>
      </c>
      <c r="E24" s="49">
        <f>E20+E23</f>
        <v>0.0</v>
      </c>
      <c r="F24" s="49">
        <f>F20+F23</f>
        <v>0.0</v>
      </c>
      <c r="G24" s="49">
        <f>G20+G23</f>
        <v>13495.0</v>
      </c>
      <c r="H24" s="49">
        <f>H20+H23</f>
        <v>13495.0</v>
      </c>
    </row>
    <row r="25" spans="1:8" ht="16" outlineLevel="1">
      <c r="A25" s="36" t="s">
        <v>22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</row>
    <row r="26" spans="1:8" ht="16">
      <c r="A26" s="41" t="s">
        <v>23</v>
      </c>
      <c r="B26" s="49">
        <f>B19+B24+B25</f>
        <v>0.0</v>
      </c>
      <c r="C26" s="49">
        <f>C19+C24+C25</f>
        <v>5000.0</v>
      </c>
      <c r="D26" s="49">
        <f>D19+D24+D25</f>
        <v>5101.75</v>
      </c>
      <c r="E26" s="49">
        <f>E19+E24+E25</f>
        <v>5394.75</v>
      </c>
      <c r="F26" s="49">
        <f>F19+F24+F25</f>
        <v>5941.91</v>
      </c>
      <c r="G26" s="49">
        <f>G19+G24+G25</f>
        <v>22913.440000000002</v>
      </c>
      <c r="H26" s="49">
        <f>H19+H24+H25</f>
        <v>23436.29</v>
      </c>
    </row>
    <row r="27" spans="1:8" ht="16">
      <c r="A27" s="35" t="s">
        <v>24</v>
      </c>
      <c r="B27" s="47"/>
      <c r="C27" s="47"/>
      <c r="D27" s="47"/>
      <c r="E27" s="47"/>
      <c r="F27" s="47"/>
      <c r="G27" s="47"/>
      <c r="H27" s="47"/>
    </row>
    <row r="28" spans="1:8" ht="16" outlineLevel="1">
      <c r="A28" s="36" t="s">
        <v>25</v>
      </c>
      <c r="B28" s="47"/>
      <c r="C28" s="47"/>
      <c r="D28" s="47"/>
      <c r="E28" s="47"/>
      <c r="F28" s="47"/>
      <c r="G28" s="47"/>
      <c r="H28" s="47"/>
    </row>
    <row r="29" spans="1:8" ht="16" outlineLevel="2">
      <c r="A29" s="37" t="s">
        <v>26</v>
      </c>
      <c r="B29" s="47"/>
      <c r="C29" s="47"/>
      <c r="D29" s="47"/>
      <c r="E29" s="47"/>
      <c r="F29" s="47"/>
      <c r="G29" s="47"/>
      <c r="H29" s="47"/>
    </row>
    <row r="30" spans="1:8" ht="16" outlineLevel="3">
      <c r="A30" s="38" t="s">
        <v>27</v>
      </c>
      <c r="B30" s="47"/>
      <c r="C30" s="47"/>
      <c r="D30" s="47"/>
      <c r="E30" s="47"/>
      <c r="F30" s="47"/>
      <c r="G30" s="47"/>
      <c r="H30" s="47"/>
    </row>
    <row r="31" spans="1:8" ht="16" outlineLevel="4">
      <c r="A31" s="42" t="s">
        <v>28</v>
      </c>
      <c r="B31" s="48">
        <v>0</v>
      </c>
      <c r="C31" s="48">
        <v>300.0</v>
      </c>
      <c r="D31" s="48">
        <v>0</v>
      </c>
      <c r="E31" s="48">
        <v>0</v>
      </c>
      <c r="F31" s="48">
        <v>392.94</v>
      </c>
      <c r="G31" s="48">
        <v>1242.72</v>
      </c>
      <c r="H31" s="48">
        <v>1602.67</v>
      </c>
    </row>
    <row r="32" spans="1:8" ht="16" outlineLevel="3">
      <c r="A32" s="43" t="s">
        <v>29</v>
      </c>
      <c r="B32" s="49">
        <f>B30+B31</f>
        <v>0.0</v>
      </c>
      <c r="C32" s="49">
        <f>C30+C31</f>
        <v>300.0</v>
      </c>
      <c r="D32" s="49">
        <f>D30+D31</f>
        <v>0.0</v>
      </c>
      <c r="E32" s="49">
        <f>E30+E31</f>
        <v>0.0</v>
      </c>
      <c r="F32" s="49">
        <f>F30+F31</f>
        <v>392.94</v>
      </c>
      <c r="G32" s="49">
        <f>G30+G31</f>
        <v>1242.72</v>
      </c>
      <c r="H32" s="49">
        <f>H30+H31</f>
        <v>1602.67</v>
      </c>
    </row>
    <row r="33" spans="1:8" ht="16" outlineLevel="3">
      <c r="A33" s="38" t="s">
        <v>30</v>
      </c>
      <c r="B33" s="47"/>
      <c r="C33" s="47"/>
      <c r="D33" s="47"/>
      <c r="E33" s="47"/>
      <c r="F33" s="47"/>
      <c r="G33" s="47"/>
      <c r="H33" s="47"/>
    </row>
    <row r="34" spans="1:8" ht="16" outlineLevel="4">
      <c r="A34" s="42" t="s">
        <v>31</v>
      </c>
      <c r="B34" s="48">
        <v>0</v>
      </c>
      <c r="C34" s="48">
        <v>0</v>
      </c>
      <c r="D34" s="48">
        <v>0</v>
      </c>
      <c r="E34" s="48">
        <v>158.08</v>
      </c>
      <c r="F34" s="48">
        <v>158.08</v>
      </c>
      <c r="G34" s="48">
        <v>709.76</v>
      </c>
      <c r="H34" s="48">
        <v>157.72000000000003</v>
      </c>
    </row>
    <row r="35" spans="1:8" ht="16" outlineLevel="3">
      <c r="A35" s="43" t="s">
        <v>32</v>
      </c>
      <c r="B35" s="49">
        <f>B33+B34</f>
        <v>0.0</v>
      </c>
      <c r="C35" s="49">
        <f>C33+C34</f>
        <v>0.0</v>
      </c>
      <c r="D35" s="49">
        <f>D33+D34</f>
        <v>0.0</v>
      </c>
      <c r="E35" s="49">
        <f>E33+E34</f>
        <v>158.08</v>
      </c>
      <c r="F35" s="49">
        <f>F33+F34</f>
        <v>158.08</v>
      </c>
      <c r="G35" s="49">
        <f>G33+G34</f>
        <v>709.76</v>
      </c>
      <c r="H35" s="49">
        <f>H33+H34</f>
        <v>157.72000000000003</v>
      </c>
    </row>
    <row r="36" spans="1:8" ht="16" outlineLevel="3">
      <c r="A36" s="38" t="s">
        <v>33</v>
      </c>
      <c r="B36" s="47"/>
      <c r="C36" s="47"/>
      <c r="D36" s="47"/>
      <c r="E36" s="47"/>
      <c r="F36" s="47"/>
      <c r="G36" s="47"/>
      <c r="H36" s="47"/>
    </row>
    <row r="37" spans="1:8" ht="16" outlineLevel="4">
      <c r="A37" s="42" t="s">
        <v>34</v>
      </c>
      <c r="B37" s="48">
        <v>0</v>
      </c>
      <c r="C37" s="48">
        <v>0</v>
      </c>
      <c r="D37" s="48">
        <v>0</v>
      </c>
      <c r="E37" s="48">
        <v>0</v>
      </c>
      <c r="F37" s="48">
        <v>0</v>
      </c>
      <c r="G37" s="48">
        <v>4000.0</v>
      </c>
      <c r="H37" s="48">
        <v>4000.0</v>
      </c>
    </row>
    <row r="38" spans="1:8" ht="16" outlineLevel="4">
      <c r="A38" s="42" t="s">
        <v>35</v>
      </c>
      <c r="B38" s="48">
        <v>0</v>
      </c>
      <c r="C38" s="48">
        <v>0</v>
      </c>
      <c r="D38" s="48">
        <v>10.5</v>
      </c>
      <c r="E38" s="48">
        <v>32.5</v>
      </c>
      <c r="F38" s="48">
        <v>6.399999999999999</v>
      </c>
      <c r="G38" s="48">
        <v>320.84</v>
      </c>
      <c r="H38" s="48">
        <v>370.94</v>
      </c>
    </row>
    <row r="39" spans="1:8" ht="16" outlineLevel="4">
      <c r="A39" s="42" t="s">
        <v>36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</row>
    <row r="40" spans="1:8" ht="16" outlineLevel="3">
      <c r="A40" s="43" t="s">
        <v>37</v>
      </c>
      <c r="B40" s="49">
        <f>B36+B37+B38+B39</f>
        <v>0.0</v>
      </c>
      <c r="C40" s="49">
        <f>C36+C37+C38+C39</f>
        <v>0.0</v>
      </c>
      <c r="D40" s="49">
        <f>D36+D37+D38+D39</f>
        <v>10.5</v>
      </c>
      <c r="E40" s="49">
        <f>E36+E37+E38+E39</f>
        <v>32.5</v>
      </c>
      <c r="F40" s="49">
        <f>F36+F37+F38+F39</f>
        <v>6.399999999999999</v>
      </c>
      <c r="G40" s="49">
        <f>G36+G37+G38+G39</f>
        <v>4320.84</v>
      </c>
      <c r="H40" s="49">
        <f>H36+H37+H38+H39</f>
        <v>4370.94</v>
      </c>
    </row>
    <row r="41" spans="1:8" ht="16" outlineLevel="2">
      <c r="A41" s="39" t="s">
        <v>38</v>
      </c>
      <c r="B41" s="49">
        <f>B29+B32+B35+B40</f>
        <v>0.0</v>
      </c>
      <c r="C41" s="49">
        <f>C29+C32+C35+C40</f>
        <v>300.0</v>
      </c>
      <c r="D41" s="49">
        <f>D29+D32+D35+D40</f>
        <v>10.5</v>
      </c>
      <c r="E41" s="49">
        <f>E29+E32+E35+E40</f>
        <v>190.58</v>
      </c>
      <c r="F41" s="49">
        <f>F29+F32+F35+F40</f>
        <v>557.42</v>
      </c>
      <c r="G41" s="49">
        <f>G29+G32+G35+G40</f>
        <v>6273.32</v>
      </c>
      <c r="H41" s="49">
        <f>H29+H32+H35+H40</f>
        <v>6131.33</v>
      </c>
    </row>
    <row r="42" spans="1:8" ht="16" outlineLevel="2">
      <c r="A42" s="37" t="s">
        <v>39</v>
      </c>
      <c r="B42" s="47"/>
      <c r="C42" s="47"/>
      <c r="D42" s="47"/>
      <c r="E42" s="47"/>
      <c r="F42" s="47"/>
      <c r="G42" s="47"/>
      <c r="H42" s="47"/>
    </row>
    <row r="43" spans="1:8" ht="16" outlineLevel="3">
      <c r="A43" s="38" t="s">
        <v>40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25000.0</v>
      </c>
      <c r="H43" s="48">
        <v>25000.0</v>
      </c>
    </row>
    <row r="44" spans="1:8" ht="16" outlineLevel="2">
      <c r="A44" s="39" t="s">
        <v>41</v>
      </c>
      <c r="B44" s="49">
        <f>B42+B43</f>
        <v>0.0</v>
      </c>
      <c r="C44" s="49">
        <f>C42+C43</f>
        <v>0.0</v>
      </c>
      <c r="D44" s="49">
        <f>D42+D43</f>
        <v>0.0</v>
      </c>
      <c r="E44" s="49">
        <f>E42+E43</f>
        <v>0.0</v>
      </c>
      <c r="F44" s="49">
        <f>F42+F43</f>
        <v>0.0</v>
      </c>
      <c r="G44" s="49">
        <f>G42+G43</f>
        <v>25000.0</v>
      </c>
      <c r="H44" s="49">
        <f>H42+H43</f>
        <v>25000.0</v>
      </c>
    </row>
    <row r="45" spans="1:8" ht="16" outlineLevel="1">
      <c r="A45" s="40" t="s">
        <v>42</v>
      </c>
      <c r="B45" s="49">
        <f>B28+B41+B44</f>
        <v>0.0</v>
      </c>
      <c r="C45" s="49">
        <f>C28+C41+C44</f>
        <v>300.0</v>
      </c>
      <c r="D45" s="49">
        <f>D28+D41+D44</f>
        <v>10.5</v>
      </c>
      <c r="E45" s="49">
        <f>E28+E41+E44</f>
        <v>190.58</v>
      </c>
      <c r="F45" s="49">
        <f>F28+F41+F44</f>
        <v>557.42</v>
      </c>
      <c r="G45" s="49">
        <f>G28+G41+G44</f>
        <v>31273.32</v>
      </c>
      <c r="H45" s="49">
        <f>H28+H41+H44</f>
        <v>31131.33</v>
      </c>
    </row>
    <row r="46" spans="1:8" ht="16" outlineLevel="1">
      <c r="A46" s="36" t="s">
        <v>43</v>
      </c>
      <c r="B46" s="47"/>
      <c r="C46" s="47"/>
      <c r="D46" s="47"/>
      <c r="E46" s="47"/>
      <c r="F46" s="47"/>
      <c r="G46" s="47"/>
      <c r="H46" s="47"/>
    </row>
    <row r="47" spans="1:8" ht="16" outlineLevel="2">
      <c r="A47" s="37" t="s">
        <v>44</v>
      </c>
      <c r="B47" s="47"/>
      <c r="C47" s="48">
        <v>-300.0</v>
      </c>
      <c r="D47" s="48">
        <v>91.25</v>
      </c>
      <c r="E47" s="48">
        <v>204.16999999999996</v>
      </c>
      <c r="F47" s="48">
        <v>384.48999999999995</v>
      </c>
      <c r="G47" s="48">
        <v>1545.1200000000006</v>
      </c>
      <c r="H47" s="48">
        <v>1642.4600000000007</v>
      </c>
    </row>
    <row r="48" spans="1:8" ht="16" outlineLevel="2">
      <c r="A48" s="37" t="s">
        <v>45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</row>
    <row r="49" spans="1:8" ht="16" outlineLevel="2">
      <c r="A49" s="37" t="s">
        <v>46</v>
      </c>
      <c r="B49" s="48">
        <v>0</v>
      </c>
      <c r="C49" s="48">
        <v>5000.0</v>
      </c>
      <c r="D49" s="48">
        <v>5000.0</v>
      </c>
      <c r="E49" s="48">
        <v>5000.0</v>
      </c>
      <c r="F49" s="48">
        <v>5000.0</v>
      </c>
      <c r="G49" s="48">
        <v>-9905.0</v>
      </c>
      <c r="H49" s="48">
        <v>-9337.5</v>
      </c>
    </row>
    <row r="50" spans="1:8" ht="16" outlineLevel="1">
      <c r="A50" s="40" t="s">
        <v>47</v>
      </c>
      <c r="B50" s="49">
        <f>B46+B47+B48+B49</f>
        <v>0.0</v>
      </c>
      <c r="C50" s="49">
        <f>C46+C47+C48+C49</f>
        <v>4700.0</v>
      </c>
      <c r="D50" s="49">
        <f>D46+D47+D48+D49</f>
        <v>5091.25</v>
      </c>
      <c r="E50" s="49">
        <f>E46+E47+E48+E49</f>
        <v>5204.17</v>
      </c>
      <c r="F50" s="49">
        <f>F46+F47+F48+F49</f>
        <v>5384.49</v>
      </c>
      <c r="G50" s="49">
        <f>G46+G47+G48+G49</f>
        <v>-8359.88</v>
      </c>
      <c r="H50" s="49">
        <f>H46+H47+H48+H49</f>
        <v>-7695.039999999999</v>
      </c>
    </row>
    <row r="51" spans="1:8" ht="16">
      <c r="A51" s="41" t="s">
        <v>48</v>
      </c>
      <c r="B51" s="49">
        <f>B45+B50</f>
        <v>0.0</v>
      </c>
      <c r="C51" s="49">
        <f>C45+C50</f>
        <v>5000.0</v>
      </c>
      <c r="D51" s="49">
        <f>D45+D50</f>
        <v>5101.75</v>
      </c>
      <c r="E51" s="49">
        <f>E45+E50</f>
        <v>5394.75</v>
      </c>
      <c r="F51" s="49">
        <f>F45+F50</f>
        <v>5941.91</v>
      </c>
      <c r="G51" s="49">
        <f>G45+G50</f>
        <v>22913.440000000002</v>
      </c>
      <c r="H51" s="49">
        <f>H45+H50</f>
        <v>23436.29</v>
      </c>
    </row>
    <row r="55" spans="1:1" ht="16">
      <c r="A55" s="50" t="s">
        <v>57</v>
      </c>
    </row>
  </sheetData>
  <mergeCells count="4">
    <mergeCell ref="A1:H1"/>
    <mergeCell ref="A2:H2"/>
    <mergeCell ref="A3:H3"/>
    <mergeCell ref="A55:H5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