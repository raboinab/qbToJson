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94" i="1" l="1"/>
</calcChain>
</file>

<file path=xl/sharedStrings.xml><?xml version="1.0" encoding="utf-8"?>
<sst xmlns="http://schemas.openxmlformats.org/spreadsheetml/2006/main" count="2277" uniqueCount="505">
  <si>
    <t>Journal</t>
  </si>
  <si>
    <t>Sandbox Company_US_1</t>
  </si>
  <si>
    <t>All Dates</t>
  </si>
  <si>
    <t>4</t>
  </si>
  <si>
    <t>02/15/2025</t>
  </si>
  <si>
    <t>Deposit</t>
  </si>
  <si>
    <t/>
  </si>
  <si>
    <t>Opening Balance</t>
  </si>
  <si>
    <t>Checking</t>
  </si>
  <si>
    <t>Opening Balance Equity</t>
  </si>
  <si>
    <t>Total for 4</t>
  </si>
  <si>
    <t>90</t>
  </si>
  <si>
    <t>02/27/2025</t>
  </si>
  <si>
    <t>Bill</t>
  </si>
  <si>
    <t>Robertson &amp; Associates</t>
  </si>
  <si>
    <t>Lawyer fees related to Startup</t>
  </si>
  <si>
    <t>Accounts Payable (A/P)</t>
  </si>
  <si>
    <t>Legal &amp; Professional Fees:Lawyer</t>
  </si>
  <si>
    <t>Total for 90</t>
  </si>
  <si>
    <t>10</t>
  </si>
  <si>
    <t>03/16/2025</t>
  </si>
  <si>
    <t>Invoice</t>
  </si>
  <si>
    <t>1002</t>
  </si>
  <si>
    <t>Bill's Windsurf Shop</t>
  </si>
  <si>
    <t>Accounts Receivable (A/R)</t>
  </si>
  <si>
    <t>Weekly Gardening Service</t>
  </si>
  <si>
    <t>Landscaping Services</t>
  </si>
  <si>
    <t>Pest Control Services</t>
  </si>
  <si>
    <t>Total for 10</t>
  </si>
  <si>
    <t>95</t>
  </si>
  <si>
    <t>1030</t>
  </si>
  <si>
    <t>Freeman Sporting Goods:0969 Ocean View Road</t>
  </si>
  <si>
    <t>Sod</t>
  </si>
  <si>
    <t>Landscaping Services:Job Materials:Plants and Soil</t>
  </si>
  <si>
    <t>Board of Equalization Payable</t>
  </si>
  <si>
    <t>Total for 95</t>
  </si>
  <si>
    <t>91</t>
  </si>
  <si>
    <t>03/29/2025</t>
  </si>
  <si>
    <t>Bill Payment (Check)</t>
  </si>
  <si>
    <t>Total for 91</t>
  </si>
  <si>
    <t>76</t>
  </si>
  <si>
    <t>04/06/2025</t>
  </si>
  <si>
    <t>Payment</t>
  </si>
  <si>
    <t>1053</t>
  </si>
  <si>
    <t>Total for 76</t>
  </si>
  <si>
    <t>97</t>
  </si>
  <si>
    <t>Undeposited Funds</t>
  </si>
  <si>
    <t>Total for 97</t>
  </si>
  <si>
    <t>96</t>
  </si>
  <si>
    <t>04/16/2025</t>
  </si>
  <si>
    <t>1031</t>
  </si>
  <si>
    <t>Rock Fountain</t>
  </si>
  <si>
    <t>Landscaping Services:Job Materials:Fountains and Garden Lighting</t>
  </si>
  <si>
    <t>Total for 96</t>
  </si>
  <si>
    <t>107</t>
  </si>
  <si>
    <t>04/20/2025</t>
  </si>
  <si>
    <t>Expense</t>
  </si>
  <si>
    <t>12</t>
  </si>
  <si>
    <t>Legal &amp; Professional Fees:Accounting</t>
  </si>
  <si>
    <t>Total for 107</t>
  </si>
  <si>
    <t>70</t>
  </si>
  <si>
    <t>04/23/2025</t>
  </si>
  <si>
    <t>1024</t>
  </si>
  <si>
    <t>Red Rock Diner</t>
  </si>
  <si>
    <t>Sprinkler Pipes</t>
  </si>
  <si>
    <t>Landscaping Services:Job Materials:Sprinklers and Drip Systems</t>
  </si>
  <si>
    <t>Garden Rocks</t>
  </si>
  <si>
    <t>Total for 70</t>
  </si>
  <si>
    <t>85</t>
  </si>
  <si>
    <t>04/27/2025</t>
  </si>
  <si>
    <t>3</t>
  </si>
  <si>
    <t>Tania's Nursery</t>
  </si>
  <si>
    <t>Mastercard</t>
  </si>
  <si>
    <t>Job Expenses:Job Materials:Plants and Soil</t>
  </si>
  <si>
    <t>Total for 85</t>
  </si>
  <si>
    <t>57</t>
  </si>
  <si>
    <t>05/12/2025</t>
  </si>
  <si>
    <t>Check</t>
  </si>
  <si>
    <t>Chin's Gas and Oil</t>
  </si>
  <si>
    <t>Automobile:Fuel</t>
  </si>
  <si>
    <t>Total for 57</t>
  </si>
  <si>
    <t>60</t>
  </si>
  <si>
    <t>05/13/2025</t>
  </si>
  <si>
    <t>1016</t>
  </si>
  <si>
    <t>Kookies by Kathy</t>
  </si>
  <si>
    <t>Total for 60</t>
  </si>
  <si>
    <t>71</t>
  </si>
  <si>
    <t>05/14/2025</t>
  </si>
  <si>
    <t>1025</t>
  </si>
  <si>
    <t>Amy's Bird Sanctuary</t>
  </si>
  <si>
    <t>Maintenance &amp; Repair</t>
  </si>
  <si>
    <t>Landscaping Services:Labor:Maintenance and Repair</t>
  </si>
  <si>
    <t>Total for 71</t>
  </si>
  <si>
    <t>75</t>
  </si>
  <si>
    <t>1027</t>
  </si>
  <si>
    <t>Total for 75</t>
  </si>
  <si>
    <t>92</t>
  </si>
  <si>
    <t>1028</t>
  </si>
  <si>
    <t>Freeman Sporting Goods:55 Twin Lane</t>
  </si>
  <si>
    <t>Total for 92</t>
  </si>
  <si>
    <t>93</t>
  </si>
  <si>
    <t>1029</t>
  </si>
  <si>
    <t>Dukes Basketball Camp</t>
  </si>
  <si>
    <t>Concrete for fountain installation</t>
  </si>
  <si>
    <t>Arizona Dept. of Revenue Payable</t>
  </si>
  <si>
    <t>Total for 93</t>
  </si>
  <si>
    <t>105</t>
  </si>
  <si>
    <t>05/16/2025</t>
  </si>
  <si>
    <t>Cal Telephone</t>
  </si>
  <si>
    <t>Utilities:Telephone</t>
  </si>
  <si>
    <t>Total for 105</t>
  </si>
  <si>
    <t>78</t>
  </si>
  <si>
    <t>05/17/2025</t>
  </si>
  <si>
    <t>PG&amp;E</t>
  </si>
  <si>
    <t>Utilities:Gas and Electric</t>
  </si>
  <si>
    <t>Total for 78</t>
  </si>
  <si>
    <t>123</t>
  </si>
  <si>
    <t>05/18/2025</t>
  </si>
  <si>
    <t>Sales Tax Payment</t>
  </si>
  <si>
    <t>Q1 Payment</t>
  </si>
  <si>
    <t>Total for 123</t>
  </si>
  <si>
    <t>124</t>
  </si>
  <si>
    <t>Total for 124</t>
  </si>
  <si>
    <t>86</t>
  </si>
  <si>
    <t>05/21/2025</t>
  </si>
  <si>
    <t>9</t>
  </si>
  <si>
    <t>Morning Glories and Sod</t>
  </si>
  <si>
    <t>Total for 86</t>
  </si>
  <si>
    <t>109</t>
  </si>
  <si>
    <t>Books by Bessie</t>
  </si>
  <si>
    <t>Legal &amp; Professional Fees:Bookkeeper</t>
  </si>
  <si>
    <t>Total for 109</t>
  </si>
  <si>
    <t>14</t>
  </si>
  <si>
    <t>05/23/2025</t>
  </si>
  <si>
    <t>1006</t>
  </si>
  <si>
    <t>Total for 14</t>
  </si>
  <si>
    <t>2</t>
  </si>
  <si>
    <t>05/25/2025</t>
  </si>
  <si>
    <t>Hicks Hardware</t>
  </si>
  <si>
    <t>Miscellaneous</t>
  </si>
  <si>
    <t>Total for 2</t>
  </si>
  <si>
    <t>58</t>
  </si>
  <si>
    <t>05/27/2025</t>
  </si>
  <si>
    <t>5</t>
  </si>
  <si>
    <t>Total for 58</t>
  </si>
  <si>
    <t>87</t>
  </si>
  <si>
    <t>05/28/2025</t>
  </si>
  <si>
    <t>15</t>
  </si>
  <si>
    <t>Job Expenses</t>
  </si>
  <si>
    <t>Total for 87</t>
  </si>
  <si>
    <t>94</t>
  </si>
  <si>
    <t>06/04/2025</t>
  </si>
  <si>
    <t>Total for 94</t>
  </si>
  <si>
    <t>06/06/2025</t>
  </si>
  <si>
    <t>5664</t>
  </si>
  <si>
    <t>Total for 15</t>
  </si>
  <si>
    <t>16</t>
  </si>
  <si>
    <t>1007</t>
  </si>
  <si>
    <t>John Melton</t>
  </si>
  <si>
    <t>Custom Design</t>
  </si>
  <si>
    <t>Design income</t>
  </si>
  <si>
    <t>Total for 16</t>
  </si>
  <si>
    <t>17</t>
  </si>
  <si>
    <t>Sales Receipt</t>
  </si>
  <si>
    <t>1008</t>
  </si>
  <si>
    <t>Kate Whelan</t>
  </si>
  <si>
    <t>Total for 17</t>
  </si>
  <si>
    <t>72</t>
  </si>
  <si>
    <t>06/08/2025</t>
  </si>
  <si>
    <t>Amy claims the pest control did not occur</t>
  </si>
  <si>
    <t>Total for 72</t>
  </si>
  <si>
    <t>67</t>
  </si>
  <si>
    <t>06/09/2025</t>
  </si>
  <si>
    <t>1021</t>
  </si>
  <si>
    <t>2 cubic ft. bag</t>
  </si>
  <si>
    <t>Total for 67</t>
  </si>
  <si>
    <t>68</t>
  </si>
  <si>
    <t>1022</t>
  </si>
  <si>
    <t>Jeff's Jalopies</t>
  </si>
  <si>
    <t>Total for 68</t>
  </si>
  <si>
    <t>79</t>
  </si>
  <si>
    <t>06/10/2025</t>
  </si>
  <si>
    <t>7</t>
  </si>
  <si>
    <t>Total for 79</t>
  </si>
  <si>
    <t>80</t>
  </si>
  <si>
    <t>06/13/2025</t>
  </si>
  <si>
    <t>8</t>
  </si>
  <si>
    <t>Total for 80</t>
  </si>
  <si>
    <t>73</t>
  </si>
  <si>
    <t>06/14/2025</t>
  </si>
  <si>
    <t>Credit Memo</t>
  </si>
  <si>
    <t>1026</t>
  </si>
  <si>
    <t>Total for 73</t>
  </si>
  <si>
    <t>74</t>
  </si>
  <si>
    <t>Created by QB Online to link credits to charges.</t>
  </si>
  <si>
    <t>Total for 74</t>
  </si>
  <si>
    <t>6</t>
  </si>
  <si>
    <t>06/15/2025</t>
  </si>
  <si>
    <t>Journal Entry</t>
  </si>
  <si>
    <t>Truck:Original Cost</t>
  </si>
  <si>
    <t>Total for 6</t>
  </si>
  <si>
    <t>21</t>
  </si>
  <si>
    <t>Monthly Phone Bill</t>
  </si>
  <si>
    <t>Total for 21</t>
  </si>
  <si>
    <t>24</t>
  </si>
  <si>
    <t>Hall Properties</t>
  </si>
  <si>
    <t>Building Lease</t>
  </si>
  <si>
    <t>Rent or Lease</t>
  </si>
  <si>
    <t>Total for 24</t>
  </si>
  <si>
    <t>35</t>
  </si>
  <si>
    <t>Total for 35</t>
  </si>
  <si>
    <t>63</t>
  </si>
  <si>
    <t>1017</t>
  </si>
  <si>
    <t>Sushi by Katsuyuki</t>
  </si>
  <si>
    <t>Total for 63</t>
  </si>
  <si>
    <t>06/16/2025</t>
  </si>
  <si>
    <t>Tim Philip Masonry</t>
  </si>
  <si>
    <t>Total for 3</t>
  </si>
  <si>
    <t>59</t>
  </si>
  <si>
    <t>1</t>
  </si>
  <si>
    <t>Total for 59</t>
  </si>
  <si>
    <t>18</t>
  </si>
  <si>
    <t>06/17/2025</t>
  </si>
  <si>
    <t>Total for 18</t>
  </si>
  <si>
    <t>39</t>
  </si>
  <si>
    <t>1012</t>
  </si>
  <si>
    <t>Shara Barnett:Barnett Design</t>
  </si>
  <si>
    <t>Sprinkler Heads</t>
  </si>
  <si>
    <t>Discount</t>
  </si>
  <si>
    <t>Discounts given</t>
  </si>
  <si>
    <t>Total for 39</t>
  </si>
  <si>
    <t>06/19/2025</t>
  </si>
  <si>
    <t>1004</t>
  </si>
  <si>
    <t>Cool Cars</t>
  </si>
  <si>
    <t>Sales of Product Income</t>
  </si>
  <si>
    <t>Installation Hours</t>
  </si>
  <si>
    <t>Services</t>
  </si>
  <si>
    <t>Total for 12</t>
  </si>
  <si>
    <t>42</t>
  </si>
  <si>
    <t>1013</t>
  </si>
  <si>
    <t>Travis Waldron</t>
  </si>
  <si>
    <t>Total for 42</t>
  </si>
  <si>
    <t>81</t>
  </si>
  <si>
    <t>Job Expenses:Job Materials:Decks and Patios</t>
  </si>
  <si>
    <t>Total for 81</t>
  </si>
  <si>
    <t>88</t>
  </si>
  <si>
    <t>06/21/2025</t>
  </si>
  <si>
    <t>22</t>
  </si>
  <si>
    <t>Total for 88</t>
  </si>
  <si>
    <t>13</t>
  </si>
  <si>
    <t>06/22/2025</t>
  </si>
  <si>
    <t>1005</t>
  </si>
  <si>
    <t>Total for 13</t>
  </si>
  <si>
    <t>64</t>
  </si>
  <si>
    <t>1018</t>
  </si>
  <si>
    <t>Total for 64</t>
  </si>
  <si>
    <t>84</t>
  </si>
  <si>
    <t>Tony Rondonuwu</t>
  </si>
  <si>
    <t>Consulting</t>
  </si>
  <si>
    <t>Total for 84</t>
  </si>
  <si>
    <t>135</t>
  </si>
  <si>
    <t>Cash Expense</t>
  </si>
  <si>
    <t>Bob's Burger Joint</t>
  </si>
  <si>
    <t>Meals and Entertainment</t>
  </si>
  <si>
    <t>Total for 135</t>
  </si>
  <si>
    <t>136</t>
  </si>
  <si>
    <t>Squeaky Kleen Car Wash</t>
  </si>
  <si>
    <t>Automobile</t>
  </si>
  <si>
    <t>Total for 136</t>
  </si>
  <si>
    <t>132</t>
  </si>
  <si>
    <t>06/23/2025</t>
  </si>
  <si>
    <t>Total for 132</t>
  </si>
  <si>
    <t>133</t>
  </si>
  <si>
    <t>Maintenance and Repair</t>
  </si>
  <si>
    <t>Total for 133</t>
  </si>
  <si>
    <t>06/24/2025</t>
  </si>
  <si>
    <t>Brosnahan Insurance Agency</t>
  </si>
  <si>
    <t>Total for 1</t>
  </si>
  <si>
    <t>19</t>
  </si>
  <si>
    <t>Insurance</t>
  </si>
  <si>
    <t>Total for 19</t>
  </si>
  <si>
    <t>61</t>
  </si>
  <si>
    <t>1886</t>
  </si>
  <si>
    <t>Total for 61</t>
  </si>
  <si>
    <t>104</t>
  </si>
  <si>
    <t>11</t>
  </si>
  <si>
    <t>Total for 104</t>
  </si>
  <si>
    <t>36</t>
  </si>
  <si>
    <t>06/25/2025</t>
  </si>
  <si>
    <t>Mahoney Mugs</t>
  </si>
  <si>
    <t>Office Supplies</t>
  </si>
  <si>
    <t>Office Expenses</t>
  </si>
  <si>
    <t>Total for 36</t>
  </si>
  <si>
    <t>56</t>
  </si>
  <si>
    <t>50</t>
  </si>
  <si>
    <t>Total for 56</t>
  </si>
  <si>
    <t>83</t>
  </si>
  <si>
    <t>Job Expenses:Job Materials:Sprinklers and Drip Systems</t>
  </si>
  <si>
    <t>Total for 83</t>
  </si>
  <si>
    <t>06/26/2025</t>
  </si>
  <si>
    <t>1003</t>
  </si>
  <si>
    <t>Dylan Sollfrank</t>
  </si>
  <si>
    <t>Total for 11</t>
  </si>
  <si>
    <t>06/27/2025</t>
  </si>
  <si>
    <t>Savings</t>
  </si>
  <si>
    <t>Total for 5</t>
  </si>
  <si>
    <t>47</t>
  </si>
  <si>
    <t>1014</t>
  </si>
  <si>
    <t>Diego Rodriguez</t>
  </si>
  <si>
    <t>Total for 47</t>
  </si>
  <si>
    <t>116</t>
  </si>
  <si>
    <t>Total for 116</t>
  </si>
  <si>
    <t>137</t>
  </si>
  <si>
    <t>Total for 137</t>
  </si>
  <si>
    <t>06/28/2025</t>
  </si>
  <si>
    <t>Loan Payable</t>
  </si>
  <si>
    <t>Total for 7</t>
  </si>
  <si>
    <t>Notes Payable</t>
  </si>
  <si>
    <t>Total for 8</t>
  </si>
  <si>
    <t>1001</t>
  </si>
  <si>
    <t>Front yard, hedges, and sidewalks</t>
  </si>
  <si>
    <t>Total for 9</t>
  </si>
  <si>
    <t>Total for 22</t>
  </si>
  <si>
    <t>25</t>
  </si>
  <si>
    <t>Norton Lumber and Building Materials</t>
  </si>
  <si>
    <t>Lumber</t>
  </si>
  <si>
    <t>Total for 25</t>
  </si>
  <si>
    <t>27</t>
  </si>
  <si>
    <t>1009</t>
  </si>
  <si>
    <t>Total for 27</t>
  </si>
  <si>
    <t>99</t>
  </si>
  <si>
    <t>1032</t>
  </si>
  <si>
    <t>Total for 99</t>
  </si>
  <si>
    <t>31</t>
  </si>
  <si>
    <t>06/29/2025</t>
  </si>
  <si>
    <t>6552</t>
  </si>
  <si>
    <t>Total for 31</t>
  </si>
  <si>
    <t>32</t>
  </si>
  <si>
    <t>5421</t>
  </si>
  <si>
    <t>Total for 32</t>
  </si>
  <si>
    <t>33</t>
  </si>
  <si>
    <t>Total for 33</t>
  </si>
  <si>
    <t>34</t>
  </si>
  <si>
    <t>1010</t>
  </si>
  <si>
    <t>Weiskopf Consulting</t>
  </si>
  <si>
    <t>Total for 34</t>
  </si>
  <si>
    <t>37</t>
  </si>
  <si>
    <t>Total for 37</t>
  </si>
  <si>
    <t>38</t>
  </si>
  <si>
    <t>1011</t>
  </si>
  <si>
    <t>Pye's Cakes</t>
  </si>
  <si>
    <t>Total for 38</t>
  </si>
  <si>
    <t>40</t>
  </si>
  <si>
    <t>2064</t>
  </si>
  <si>
    <t>Total for 40</t>
  </si>
  <si>
    <t>44</t>
  </si>
  <si>
    <t>Diego's Road Warrior Bodyshop</t>
  </si>
  <si>
    <t>Repairs on the truck</t>
  </si>
  <si>
    <t>Maintenance and Repair:Equipment Repairs</t>
  </si>
  <si>
    <t>Total for 44</t>
  </si>
  <si>
    <t>49</t>
  </si>
  <si>
    <t>1015</t>
  </si>
  <si>
    <t>Paulsen Medical Supplies</t>
  </si>
  <si>
    <t>Installation of landscape design</t>
  </si>
  <si>
    <t>Landscaping Services:Labor:Installation</t>
  </si>
  <si>
    <t>Total for 49</t>
  </si>
  <si>
    <t>Bill Payment (Credit Card)</t>
  </si>
  <si>
    <t>Total for 50</t>
  </si>
  <si>
    <t>51</t>
  </si>
  <si>
    <t>Ellis Equipment Rental</t>
  </si>
  <si>
    <t>Equipment rental for 5 days</t>
  </si>
  <si>
    <t>Equipment Rental</t>
  </si>
  <si>
    <t>Total for 51</t>
  </si>
  <si>
    <t>55</t>
  </si>
  <si>
    <t>Lee Advertising</t>
  </si>
  <si>
    <t>Advertising</t>
  </si>
  <si>
    <t>Total for 55</t>
  </si>
  <si>
    <t>62</t>
  </si>
  <si>
    <t>Total for 62</t>
  </si>
  <si>
    <t>65</t>
  </si>
  <si>
    <t>1019</t>
  </si>
  <si>
    <t>Total for 65</t>
  </si>
  <si>
    <t>66</t>
  </si>
  <si>
    <t>Refund</t>
  </si>
  <si>
    <t>1020</t>
  </si>
  <si>
    <t>Refund - Pest control was ineffective</t>
  </si>
  <si>
    <t>Total for 66</t>
  </si>
  <si>
    <t>69</t>
  </si>
  <si>
    <t>1023</t>
  </si>
  <si>
    <t>Total for 69</t>
  </si>
  <si>
    <t>138</t>
  </si>
  <si>
    <t>Debit</t>
  </si>
  <si>
    <t>Total for 138</t>
  </si>
  <si>
    <t>77</t>
  </si>
  <si>
    <t>06/30/2025</t>
  </si>
  <si>
    <t>Total for 77</t>
  </si>
  <si>
    <t>82</t>
  </si>
  <si>
    <t>45</t>
  </si>
  <si>
    <t>Total for 82</t>
  </si>
  <si>
    <t>89</t>
  </si>
  <si>
    <t>108</t>
  </si>
  <si>
    <t>Total for 89</t>
  </si>
  <si>
    <t>98</t>
  </si>
  <si>
    <t>Total for 98</t>
  </si>
  <si>
    <t>101</t>
  </si>
  <si>
    <t>Total for 101</t>
  </si>
  <si>
    <t>102</t>
  </si>
  <si>
    <t>Total for 102</t>
  </si>
  <si>
    <t>103</t>
  </si>
  <si>
    <t>1033</t>
  </si>
  <si>
    <t>Geeta Kalapatapu</t>
  </si>
  <si>
    <t>Fountain Pump</t>
  </si>
  <si>
    <t>Total for 103</t>
  </si>
  <si>
    <t>106</t>
  </si>
  <si>
    <t>1034</t>
  </si>
  <si>
    <t>Rondonuwu Fruit and Vegi</t>
  </si>
  <si>
    <t>Tree and Shrub Trimming</t>
  </si>
  <si>
    <t>Garden Lighting</t>
  </si>
  <si>
    <t>Total for 106</t>
  </si>
  <si>
    <t>131</t>
  </si>
  <si>
    <t>Total for 131</t>
  </si>
  <si>
    <t>07/01/2025</t>
  </si>
  <si>
    <t>Total for 108</t>
  </si>
  <si>
    <t>110</t>
  </si>
  <si>
    <t>Inventory Qty Adjust</t>
  </si>
  <si>
    <t>START</t>
  </si>
  <si>
    <t>Opening inventory for Pump</t>
  </si>
  <si>
    <t>Inventory Asset</t>
  </si>
  <si>
    <t>Total for 110</t>
  </si>
  <si>
    <t>111</t>
  </si>
  <si>
    <t>Opening inventory for Sprinkler Heads</t>
  </si>
  <si>
    <t>Total for 111</t>
  </si>
  <si>
    <t>112</t>
  </si>
  <si>
    <t>Opening inventory for Sprinkler Pipes</t>
  </si>
  <si>
    <t>Total for 112</t>
  </si>
  <si>
    <t>113</t>
  </si>
  <si>
    <t>Opening inventory for Rock Fountain</t>
  </si>
  <si>
    <t>Total for 113</t>
  </si>
  <si>
    <t>115</t>
  </si>
  <si>
    <t>Total for 115</t>
  </si>
  <si>
    <t>117</t>
  </si>
  <si>
    <t>Total for 117</t>
  </si>
  <si>
    <t>118</t>
  </si>
  <si>
    <t>Total for 118</t>
  </si>
  <si>
    <t>119</t>
  </si>
  <si>
    <t>1035</t>
  </si>
  <si>
    <t>Mark Cho</t>
  </si>
  <si>
    <t>Cost of Goods Sold</t>
  </si>
  <si>
    <t>Total for 119</t>
  </si>
  <si>
    <t>120</t>
  </si>
  <si>
    <t>Total for 120</t>
  </si>
  <si>
    <t>121</t>
  </si>
  <si>
    <t>Money to savings</t>
  </si>
  <si>
    <t>Total for 121</t>
  </si>
  <si>
    <t>122</t>
  </si>
  <si>
    <t>Total for 122</t>
  </si>
  <si>
    <t>126</t>
  </si>
  <si>
    <t>Total for 126</t>
  </si>
  <si>
    <t>127</t>
  </si>
  <si>
    <t>Pam Seitz</t>
  </si>
  <si>
    <t>Counsel</t>
  </si>
  <si>
    <t>Legal &amp; Professional Fees</t>
  </si>
  <si>
    <t>Total for 127</t>
  </si>
  <si>
    <t>128</t>
  </si>
  <si>
    <t>Total for 128</t>
  </si>
  <si>
    <t>129</t>
  </si>
  <si>
    <t>1036</t>
  </si>
  <si>
    <t>Total for 129</t>
  </si>
  <si>
    <t>130</t>
  </si>
  <si>
    <t>1037</t>
  </si>
  <si>
    <t>Sonnenschein Family Store</t>
  </si>
  <si>
    <t>Total for 130</t>
  </si>
  <si>
    <t>134</t>
  </si>
  <si>
    <t>07/04/2025</t>
  </si>
  <si>
    <t>Total for 134</t>
  </si>
  <si>
    <t>140</t>
  </si>
  <si>
    <t>07/06/2025</t>
  </si>
  <si>
    <t>Credit Card Expense</t>
  </si>
  <si>
    <t>Bought lunch for crew 102</t>
  </si>
  <si>
    <t>Total for 140</t>
  </si>
  <si>
    <t>141</t>
  </si>
  <si>
    <t>Total for 141</t>
  </si>
  <si>
    <t>143</t>
  </si>
  <si>
    <t>07/07/2025</t>
  </si>
  <si>
    <t>Total for 143</t>
  </si>
  <si>
    <t>142</t>
  </si>
  <si>
    <t>07/13/2025</t>
  </si>
  <si>
    <t>Total for 142</t>
  </si>
  <si>
    <t>139</t>
  </si>
  <si>
    <t>07/15/2025</t>
  </si>
  <si>
    <t>Credit Card Credit</t>
  </si>
  <si>
    <t>Monthly Payment</t>
  </si>
  <si>
    <t>Total for 139</t>
  </si>
  <si>
    <t>144</t>
  </si>
  <si>
    <t>07/26/2025</t>
  </si>
  <si>
    <t>Total for 144</t>
  </si>
  <si>
    <t>TOTAL</t>
  </si>
  <si>
    <t>Transaction date</t>
  </si>
  <si>
    <t>Transaction type</t>
  </si>
  <si>
    <t>Num</t>
  </si>
  <si>
    <t>Name</t>
  </si>
  <si>
    <t>Memo/Description</t>
  </si>
  <si>
    <t>Full name</t>
  </si>
  <si>
    <t>Credit</t>
  </si>
  <si>
    <t>Accrual Basis Monday, September 08, 2025 09:20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</si>
</sst>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MM/dd/yyyy hh:mm:ss a"/>
    <numFmt numFmtId="178" formatCode="$#,##0.00"/>
    <numFmt numFmtId="179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1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7" fontId="0" fillId="0" borderId="0" xfId="0" applyNumberFormat="1"/>
    <xf numFmtId="177" fontId="0" fillId="0" borderId="0" xfId="0" applyNumberFormat="1" applyAlignment="1">
      <alignment horizontal="left"/>
    </xf>
    <xf numFmtId="177" fontId="3" fillId="0" borderId="0" xfId="0" applyNumberFormat="1" applyFont="1" applyAlignment="1">
      <alignment horizontal="left"/>
    </xf>
    <xf numFmtId="177" fontId="3" fillId="0" borderId="0" xfId="0" applyNumberFormat="1" applyFont="1"/>
    <xf numFmtId="0" fontId="3" fillId="0" borderId="0" xfId="0" applyFont="1"/>
    <xf numFmtId="179" fontId="0" fillId="0" borderId="0" xfId="0" applyNumberFormat="1"/>
    <xf numFmtId="179" fontId="3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3" fillId="0" borderId="0" xfId="0" applyFont="1" applyAlignment="1">
      <alignment horizontal="left"/>
    </xf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9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77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599"/>
  <sheetViews>
    <sheetView tabSelected="1" workbookViewId="0" topLeftCell="A1"/>
  </sheetViews>
  <sheetFormatPr defaultColWidth="11.255" defaultRowHeight="16" outlineLevelRow="1"/>
  <cols>
    <col min="1" max="1" width="11.75" style="28" customWidth="1"/>
    <col min="2" max="2" width="14.375" style="28" customWidth="1"/>
    <col min="3" max="3" width="23" style="28" customWidth="1"/>
    <col min="4" max="4" width="7.5" style="28" customWidth="1"/>
    <col min="5" max="5" width="37.625" style="28" customWidth="1"/>
    <col min="6" max="6" width="41.875" style="28" customWidth="1"/>
    <col min="7" max="7" width="55.625" style="28" customWidth="1"/>
    <col min="8" max="9" width="15.25" style="28" customWidth="1"/>
  </cols>
  <sheetData>
    <row r="1" spans="1:1" ht="16">
      <c r="A1" s="34" t="s">
        <v>0</v>
      </c>
    </row>
    <row r="2" spans="1:1" ht="16">
      <c r="A2" s="35" t="s">
        <v>1</v>
      </c>
    </row>
    <row r="3" spans="1:1" ht="16">
      <c r="A3" s="36" t="s">
        <v>2</v>
      </c>
    </row>
    <row r="5" spans="2:9" ht="16">
      <c r="B5" s="30" t="s">
        <v>497</v>
      </c>
      <c r="C5" s="30" t="s">
        <v>498</v>
      </c>
      <c r="D5" s="30" t="s">
        <v>499</v>
      </c>
      <c r="E5" s="30" t="s">
        <v>500</v>
      </c>
      <c r="F5" s="30" t="s">
        <v>501</v>
      </c>
      <c r="G5" s="30" t="s">
        <v>502</v>
      </c>
      <c r="H5" s="30" t="s">
        <v>391</v>
      </c>
      <c r="I5" s="30" t="s">
        <v>503</v>
      </c>
    </row>
    <row r="6" spans="1:1" ht="16">
      <c r="A6" s="37" t="s">
        <v>3</v>
      </c>
    </row>
    <row r="7" spans="2:9" ht="16" outlineLevel="1">
      <c r="B7" s="26" t="s">
        <v>4</v>
      </c>
      <c r="C7" s="31" t="s">
        <v>5</v>
      </c>
      <c r="D7" s="31" t="s">
        <v>6</v>
      </c>
      <c r="E7" s="31" t="s">
        <v>6</v>
      </c>
      <c r="F7" s="31" t="s">
        <v>7</v>
      </c>
      <c r="G7" s="31" t="s">
        <v>8</v>
      </c>
      <c r="H7" s="32">
        <v>5000.0</v>
      </c>
      <c r="I7" s="31"/>
    </row>
    <row r="8" spans="2:9" ht="16" outlineLevel="1">
      <c r="B8" s="26" t="s">
        <v>4</v>
      </c>
      <c r="C8" s="31" t="s">
        <v>5</v>
      </c>
      <c r="D8" s="31" t="s">
        <v>6</v>
      </c>
      <c r="E8" s="31" t="s">
        <v>6</v>
      </c>
      <c r="F8" s="31" t="s">
        <v>6</v>
      </c>
      <c r="G8" s="31" t="s">
        <v>9</v>
      </c>
      <c r="H8" s="31"/>
      <c r="I8" s="32">
        <v>5000.0</v>
      </c>
    </row>
    <row r="9" spans="1:9" ht="16">
      <c r="A9" s="38" t="s">
        <v>10</v>
      </c>
      <c r="H9" s="33">
        <f>H7+H8</f>
        <v>5000.0</v>
      </c>
      <c r="I9" s="33">
        <f>I7+I8</f>
        <v>5000.0</v>
      </c>
    </row>
    <row r="10" spans="1:1" ht="16">
      <c r="A10" s="39" t="s">
        <v>11</v>
      </c>
    </row>
    <row r="11" spans="2:9" ht="16" outlineLevel="1">
      <c r="B11" s="26" t="s">
        <v>12</v>
      </c>
      <c r="C11" s="31" t="s">
        <v>13</v>
      </c>
      <c r="D11" s="31" t="s">
        <v>6</v>
      </c>
      <c r="E11" s="31" t="s">
        <v>14</v>
      </c>
      <c r="F11" s="31" t="s">
        <v>15</v>
      </c>
      <c r="G11" s="31" t="s">
        <v>16</v>
      </c>
      <c r="H11" s="31"/>
      <c r="I11" s="32">
        <v>300.0</v>
      </c>
    </row>
    <row r="12" spans="2:9" ht="16" outlineLevel="1">
      <c r="B12" s="26" t="s">
        <v>12</v>
      </c>
      <c r="C12" s="31" t="s">
        <v>13</v>
      </c>
      <c r="D12" s="31" t="s">
        <v>6</v>
      </c>
      <c r="E12" s="31" t="s">
        <v>14</v>
      </c>
      <c r="F12" s="31" t="s">
        <v>6</v>
      </c>
      <c r="G12" s="31" t="s">
        <v>17</v>
      </c>
      <c r="H12" s="32">
        <v>300.0</v>
      </c>
      <c r="I12" s="31"/>
    </row>
    <row r="13" spans="1:9" ht="16">
      <c r="A13" s="38" t="s">
        <v>18</v>
      </c>
      <c r="H13" s="33">
        <f>H11+H12</f>
        <v>300.0</v>
      </c>
      <c r="I13" s="33">
        <f>I11+I12</f>
        <v>300.0</v>
      </c>
    </row>
    <row r="14" spans="1:1" ht="16">
      <c r="A14" s="39" t="s">
        <v>19</v>
      </c>
    </row>
    <row r="15" spans="2:9" ht="16" outlineLevel="1">
      <c r="B15" s="26" t="s">
        <v>20</v>
      </c>
      <c r="C15" s="31" t="s">
        <v>21</v>
      </c>
      <c r="D15" s="31" t="s">
        <v>22</v>
      </c>
      <c r="E15" s="31" t="s">
        <v>23</v>
      </c>
      <c r="F15" s="31" t="s">
        <v>6</v>
      </c>
      <c r="G15" s="31" t="s">
        <v>24</v>
      </c>
      <c r="H15" s="32">
        <v>175.0</v>
      </c>
      <c r="I15" s="31"/>
    </row>
    <row r="16" spans="2:9" ht="16" outlineLevel="1">
      <c r="B16" s="26" t="s">
        <v>20</v>
      </c>
      <c r="C16" s="31" t="s">
        <v>21</v>
      </c>
      <c r="D16" s="31" t="s">
        <v>22</v>
      </c>
      <c r="E16" s="31" t="s">
        <v>23</v>
      </c>
      <c r="F16" s="31" t="s">
        <v>25</v>
      </c>
      <c r="G16" s="31" t="s">
        <v>26</v>
      </c>
      <c r="H16" s="31"/>
      <c r="I16" s="32">
        <v>140.0</v>
      </c>
    </row>
    <row r="17" spans="2:9" ht="16" outlineLevel="1">
      <c r="B17" s="26" t="s">
        <v>20</v>
      </c>
      <c r="C17" s="31" t="s">
        <v>21</v>
      </c>
      <c r="D17" s="31" t="s">
        <v>22</v>
      </c>
      <c r="E17" s="31" t="s">
        <v>23</v>
      </c>
      <c r="F17" s="31" t="s">
        <v>27</v>
      </c>
      <c r="G17" s="31" t="s">
        <v>27</v>
      </c>
      <c r="H17" s="31"/>
      <c r="I17" s="32">
        <v>35.0</v>
      </c>
    </row>
    <row r="18" spans="1:9" ht="16">
      <c r="A18" s="38" t="s">
        <v>28</v>
      </c>
      <c r="H18" s="33">
        <f>H15+H16+H17</f>
        <v>175.0</v>
      </c>
      <c r="I18" s="33">
        <f>I15+I16+I17</f>
        <v>175.0</v>
      </c>
    </row>
    <row r="19" spans="1:1" ht="16">
      <c r="A19" s="39" t="s">
        <v>29</v>
      </c>
    </row>
    <row r="20" spans="2:9" ht="16" outlineLevel="1">
      <c r="B20" s="26" t="s">
        <v>20</v>
      </c>
      <c r="C20" s="31" t="s">
        <v>21</v>
      </c>
      <c r="D20" s="31" t="s">
        <v>30</v>
      </c>
      <c r="E20" s="31" t="s">
        <v>31</v>
      </c>
      <c r="F20" s="31" t="s">
        <v>6</v>
      </c>
      <c r="G20" s="31" t="s">
        <v>24</v>
      </c>
      <c r="H20" s="32">
        <v>226.75</v>
      </c>
      <c r="I20" s="31"/>
    </row>
    <row r="21" spans="2:9" ht="16" outlineLevel="1">
      <c r="B21" s="26" t="s">
        <v>20</v>
      </c>
      <c r="C21" s="31" t="s">
        <v>21</v>
      </c>
      <c r="D21" s="31" t="s">
        <v>30</v>
      </c>
      <c r="E21" s="31" t="s">
        <v>31</v>
      </c>
      <c r="F21" s="31" t="s">
        <v>25</v>
      </c>
      <c r="G21" s="31" t="s">
        <v>26</v>
      </c>
      <c r="H21" s="31"/>
      <c r="I21" s="32">
        <v>50.0</v>
      </c>
    </row>
    <row r="22" spans="2:9" ht="16" outlineLevel="1">
      <c r="B22" s="26" t="s">
        <v>20</v>
      </c>
      <c r="C22" s="31" t="s">
        <v>21</v>
      </c>
      <c r="D22" s="31" t="s">
        <v>30</v>
      </c>
      <c r="E22" s="31" t="s">
        <v>31</v>
      </c>
      <c r="F22" s="31" t="s">
        <v>27</v>
      </c>
      <c r="G22" s="31" t="s">
        <v>27</v>
      </c>
      <c r="H22" s="31"/>
      <c r="I22" s="32">
        <v>35.0</v>
      </c>
    </row>
    <row r="23" spans="2:9" ht="16" outlineLevel="1">
      <c r="B23" s="26" t="s">
        <v>20</v>
      </c>
      <c r="C23" s="31" t="s">
        <v>21</v>
      </c>
      <c r="D23" s="31" t="s">
        <v>30</v>
      </c>
      <c r="E23" s="31" t="s">
        <v>31</v>
      </c>
      <c r="F23" s="31" t="s">
        <v>32</v>
      </c>
      <c r="G23" s="31" t="s">
        <v>33</v>
      </c>
      <c r="H23" s="31"/>
      <c r="I23" s="32">
        <v>131.25</v>
      </c>
    </row>
    <row r="24" spans="2:9" ht="16" outlineLevel="1">
      <c r="B24" s="26" t="s">
        <v>20</v>
      </c>
      <c r="C24" s="31" t="s">
        <v>21</v>
      </c>
      <c r="D24" s="31" t="s">
        <v>30</v>
      </c>
      <c r="E24" s="31" t="s">
        <v>31</v>
      </c>
      <c r="F24" s="31" t="s">
        <v>6</v>
      </c>
      <c r="G24" s="31" t="s">
        <v>34</v>
      </c>
      <c r="H24" s="31"/>
      <c r="I24" s="32">
        <v>10.5</v>
      </c>
    </row>
    <row r="25" spans="1:9" ht="16">
      <c r="A25" s="38" t="s">
        <v>35</v>
      </c>
      <c r="H25" s="33">
        <f>H20+H21+H22+H23+H24</f>
        <v>226.75</v>
      </c>
      <c r="I25" s="33">
        <f>I20+I21+I22+I23+I24</f>
        <v>226.75</v>
      </c>
    </row>
    <row r="26" spans="1:1" ht="16">
      <c r="A26" s="39" t="s">
        <v>36</v>
      </c>
    </row>
    <row r="27" spans="2:9" ht="16" outlineLevel="1">
      <c r="B27" s="26" t="s">
        <v>37</v>
      </c>
      <c r="C27" s="31" t="s">
        <v>38</v>
      </c>
      <c r="D27" s="31" t="s">
        <v>19</v>
      </c>
      <c r="E27" s="31" t="s">
        <v>14</v>
      </c>
      <c r="F27" s="31" t="s">
        <v>6</v>
      </c>
      <c r="G27" s="31" t="s">
        <v>8</v>
      </c>
      <c r="H27" s="31"/>
      <c r="I27" s="32">
        <v>300.0</v>
      </c>
    </row>
    <row r="28" spans="2:9" ht="16" outlineLevel="1">
      <c r="B28" s="26" t="s">
        <v>37</v>
      </c>
      <c r="C28" s="31" t="s">
        <v>38</v>
      </c>
      <c r="D28" s="31" t="s">
        <v>19</v>
      </c>
      <c r="E28" s="31" t="s">
        <v>14</v>
      </c>
      <c r="F28" s="31" t="s">
        <v>6</v>
      </c>
      <c r="G28" s="31" t="s">
        <v>16</v>
      </c>
      <c r="H28" s="32">
        <v>300.0</v>
      </c>
      <c r="I28" s="31"/>
    </row>
    <row r="29" spans="1:9" ht="16">
      <c r="A29" s="38" t="s">
        <v>39</v>
      </c>
      <c r="H29" s="33">
        <f>H27+H28</f>
        <v>300.0</v>
      </c>
      <c r="I29" s="33">
        <f>I27+I28</f>
        <v>300.0</v>
      </c>
    </row>
    <row r="30" spans="1:1" ht="16">
      <c r="A30" s="39" t="s">
        <v>40</v>
      </c>
    </row>
    <row r="31" spans="2:9" ht="16" outlineLevel="1">
      <c r="B31" s="26" t="s">
        <v>41</v>
      </c>
      <c r="C31" s="31" t="s">
        <v>42</v>
      </c>
      <c r="D31" s="31" t="s">
        <v>43</v>
      </c>
      <c r="E31" s="31" t="s">
        <v>23</v>
      </c>
      <c r="F31" s="31" t="s">
        <v>6</v>
      </c>
      <c r="G31" s="31" t="s">
        <v>8</v>
      </c>
      <c r="H31" s="32">
        <v>175.0</v>
      </c>
      <c r="I31" s="31"/>
    </row>
    <row r="32" spans="2:9" ht="16" outlineLevel="1">
      <c r="B32" s="26" t="s">
        <v>41</v>
      </c>
      <c r="C32" s="31" t="s">
        <v>42</v>
      </c>
      <c r="D32" s="31" t="s">
        <v>43</v>
      </c>
      <c r="E32" s="31" t="s">
        <v>23</v>
      </c>
      <c r="F32" s="31" t="s">
        <v>6</v>
      </c>
      <c r="G32" s="31" t="s">
        <v>24</v>
      </c>
      <c r="H32" s="31"/>
      <c r="I32" s="32">
        <v>175.0</v>
      </c>
    </row>
    <row r="33" spans="1:9" ht="16">
      <c r="A33" s="38" t="s">
        <v>44</v>
      </c>
      <c r="H33" s="33">
        <f>H31+H32</f>
        <v>175.0</v>
      </c>
      <c r="I33" s="33">
        <f>I31+I32</f>
        <v>175.0</v>
      </c>
    </row>
    <row r="34" spans="1:1" ht="16">
      <c r="A34" s="39" t="s">
        <v>45</v>
      </c>
    </row>
    <row r="35" spans="2:9" ht="16" outlineLevel="1">
      <c r="B35" s="26" t="s">
        <v>41</v>
      </c>
      <c r="C35" s="31" t="s">
        <v>42</v>
      </c>
      <c r="D35" s="31" t="s">
        <v>6</v>
      </c>
      <c r="E35" s="31" t="s">
        <v>31</v>
      </c>
      <c r="F35" s="31" t="s">
        <v>6</v>
      </c>
      <c r="G35" s="31" t="s">
        <v>46</v>
      </c>
      <c r="H35" s="32">
        <v>226.75</v>
      </c>
      <c r="I35" s="31"/>
    </row>
    <row r="36" spans="2:9" ht="16" outlineLevel="1">
      <c r="B36" s="26" t="s">
        <v>41</v>
      </c>
      <c r="C36" s="31" t="s">
        <v>42</v>
      </c>
      <c r="D36" s="31" t="s">
        <v>6</v>
      </c>
      <c r="E36" s="31" t="s">
        <v>31</v>
      </c>
      <c r="F36" s="31" t="s">
        <v>6</v>
      </c>
      <c r="G36" s="31" t="s">
        <v>24</v>
      </c>
      <c r="H36" s="31"/>
      <c r="I36" s="32">
        <v>226.75</v>
      </c>
    </row>
    <row r="37" spans="1:9" ht="16">
      <c r="A37" s="38" t="s">
        <v>47</v>
      </c>
      <c r="H37" s="33">
        <f>H35+H36</f>
        <v>226.75</v>
      </c>
      <c r="I37" s="33">
        <f>I35+I36</f>
        <v>226.75</v>
      </c>
    </row>
    <row r="38" spans="1:1" ht="16">
      <c r="A38" s="39" t="s">
        <v>48</v>
      </c>
    </row>
    <row r="39" spans="2:9" ht="16" outlineLevel="1">
      <c r="B39" s="26" t="s">
        <v>49</v>
      </c>
      <c r="C39" s="31" t="s">
        <v>21</v>
      </c>
      <c r="D39" s="31" t="s">
        <v>50</v>
      </c>
      <c r="E39" s="31" t="s">
        <v>31</v>
      </c>
      <c r="F39" s="31" t="s">
        <v>6</v>
      </c>
      <c r="G39" s="31" t="s">
        <v>24</v>
      </c>
      <c r="H39" s="32">
        <v>387.0</v>
      </c>
      <c r="I39" s="31"/>
    </row>
    <row r="40" spans="2:9" ht="16" outlineLevel="1">
      <c r="B40" s="26" t="s">
        <v>49</v>
      </c>
      <c r="C40" s="31" t="s">
        <v>21</v>
      </c>
      <c r="D40" s="31" t="s">
        <v>50</v>
      </c>
      <c r="E40" s="31" t="s">
        <v>31</v>
      </c>
      <c r="F40" s="31" t="s">
        <v>25</v>
      </c>
      <c r="G40" s="31" t="s">
        <v>26</v>
      </c>
      <c r="H40" s="31"/>
      <c r="I40" s="32">
        <v>90.0</v>
      </c>
    </row>
    <row r="41" spans="2:9" ht="16" outlineLevel="1">
      <c r="B41" s="26" t="s">
        <v>49</v>
      </c>
      <c r="C41" s="31" t="s">
        <v>21</v>
      </c>
      <c r="D41" s="31" t="s">
        <v>50</v>
      </c>
      <c r="E41" s="31" t="s">
        <v>31</v>
      </c>
      <c r="F41" s="31" t="s">
        <v>51</v>
      </c>
      <c r="G41" s="31" t="s">
        <v>52</v>
      </c>
      <c r="H41" s="31"/>
      <c r="I41" s="32">
        <v>275.0</v>
      </c>
    </row>
    <row r="42" spans="2:9" ht="16" outlineLevel="1">
      <c r="B42" s="26" t="s">
        <v>49</v>
      </c>
      <c r="C42" s="31" t="s">
        <v>21</v>
      </c>
      <c r="D42" s="31" t="s">
        <v>50</v>
      </c>
      <c r="E42" s="31" t="s">
        <v>31</v>
      </c>
      <c r="F42" s="31" t="s">
        <v>6</v>
      </c>
      <c r="G42" s="31" t="s">
        <v>34</v>
      </c>
      <c r="H42" s="31"/>
      <c r="I42" s="32">
        <v>22.0</v>
      </c>
    </row>
    <row r="43" spans="1:9" ht="16">
      <c r="A43" s="38" t="s">
        <v>53</v>
      </c>
      <c r="H43" s="33">
        <f>H39+H40+H41+H42</f>
        <v>387.0</v>
      </c>
      <c r="I43" s="33">
        <f>I39+I40+I41+I42</f>
        <v>387.0</v>
      </c>
    </row>
    <row r="44" spans="1:1" ht="16">
      <c r="A44" s="39" t="s">
        <v>54</v>
      </c>
    </row>
    <row r="45" spans="2:9" ht="16" outlineLevel="1">
      <c r="B45" s="26" t="s">
        <v>55</v>
      </c>
      <c r="C45" s="31" t="s">
        <v>56</v>
      </c>
      <c r="D45" s="31" t="s">
        <v>57</v>
      </c>
      <c r="E45" s="31" t="s">
        <v>14</v>
      </c>
      <c r="F45" s="31" t="s">
        <v>6</v>
      </c>
      <c r="G45" s="31" t="s">
        <v>8</v>
      </c>
      <c r="H45" s="31"/>
      <c r="I45" s="32">
        <v>250.0</v>
      </c>
    </row>
    <row r="46" spans="2:9" ht="16" outlineLevel="1">
      <c r="B46" s="26" t="s">
        <v>55</v>
      </c>
      <c r="C46" s="31" t="s">
        <v>56</v>
      </c>
      <c r="D46" s="31" t="s">
        <v>57</v>
      </c>
      <c r="E46" s="31" t="s">
        <v>14</v>
      </c>
      <c r="F46" s="31" t="s">
        <v>6</v>
      </c>
      <c r="G46" s="31" t="s">
        <v>58</v>
      </c>
      <c r="H46" s="32">
        <v>250.0</v>
      </c>
      <c r="I46" s="31"/>
    </row>
    <row r="47" spans="1:9" ht="16">
      <c r="A47" s="38" t="s">
        <v>59</v>
      </c>
      <c r="H47" s="33">
        <f>H45+H46</f>
        <v>250.0</v>
      </c>
      <c r="I47" s="33">
        <f>I45+I46</f>
        <v>250.0</v>
      </c>
    </row>
    <row r="48" spans="1:1" ht="16">
      <c r="A48" s="39" t="s">
        <v>60</v>
      </c>
    </row>
    <row r="49" spans="2:9" ht="16" outlineLevel="1">
      <c r="B49" s="26" t="s">
        <v>61</v>
      </c>
      <c r="C49" s="31" t="s">
        <v>21</v>
      </c>
      <c r="D49" s="31" t="s">
        <v>62</v>
      </c>
      <c r="E49" s="31" t="s">
        <v>63</v>
      </c>
      <c r="F49" s="31" t="s">
        <v>6</v>
      </c>
      <c r="G49" s="31" t="s">
        <v>24</v>
      </c>
      <c r="H49" s="32">
        <v>156.0</v>
      </c>
      <c r="I49" s="31"/>
    </row>
    <row r="50" spans="2:9" ht="16" outlineLevel="1">
      <c r="B50" s="26" t="s">
        <v>61</v>
      </c>
      <c r="C50" s="31" t="s">
        <v>21</v>
      </c>
      <c r="D50" s="31" t="s">
        <v>62</v>
      </c>
      <c r="E50" s="31" t="s">
        <v>63</v>
      </c>
      <c r="F50" s="31" t="s">
        <v>64</v>
      </c>
      <c r="G50" s="31" t="s">
        <v>65</v>
      </c>
      <c r="H50" s="31"/>
      <c r="I50" s="32">
        <v>48.0</v>
      </c>
    </row>
    <row r="51" spans="2:9" ht="16" outlineLevel="1">
      <c r="B51" s="26" t="s">
        <v>61</v>
      </c>
      <c r="C51" s="31" t="s">
        <v>21</v>
      </c>
      <c r="D51" s="31" t="s">
        <v>62</v>
      </c>
      <c r="E51" s="31" t="s">
        <v>63</v>
      </c>
      <c r="F51" s="31" t="s">
        <v>64</v>
      </c>
      <c r="G51" s="31" t="s">
        <v>65</v>
      </c>
      <c r="H51" s="31"/>
      <c r="I51" s="32">
        <v>60.0</v>
      </c>
    </row>
    <row r="52" spans="2:9" ht="16" outlineLevel="1">
      <c r="B52" s="26" t="s">
        <v>61</v>
      </c>
      <c r="C52" s="31" t="s">
        <v>21</v>
      </c>
      <c r="D52" s="31" t="s">
        <v>62</v>
      </c>
      <c r="E52" s="31" t="s">
        <v>63</v>
      </c>
      <c r="F52" s="31" t="s">
        <v>66</v>
      </c>
      <c r="G52" s="31" t="s">
        <v>52</v>
      </c>
      <c r="H52" s="31"/>
      <c r="I52" s="32">
        <v>48.0</v>
      </c>
    </row>
    <row r="53" spans="1:9" ht="16">
      <c r="A53" s="38" t="s">
        <v>67</v>
      </c>
      <c r="H53" s="33">
        <f>H49+H50+H51+H52</f>
        <v>156.0</v>
      </c>
      <c r="I53" s="33">
        <f>I49+I50+I51+I52</f>
        <v>156.0</v>
      </c>
    </row>
    <row r="54" spans="1:1" ht="16">
      <c r="A54" s="39" t="s">
        <v>68</v>
      </c>
    </row>
    <row r="55" spans="2:9" ht="16" outlineLevel="1">
      <c r="B55" s="26" t="s">
        <v>69</v>
      </c>
      <c r="C55" s="31" t="s">
        <v>56</v>
      </c>
      <c r="D55" s="31" t="s">
        <v>70</v>
      </c>
      <c r="E55" s="31" t="s">
        <v>71</v>
      </c>
      <c r="F55" s="31" t="s">
        <v>6</v>
      </c>
      <c r="G55" s="31" t="s">
        <v>72</v>
      </c>
      <c r="H55" s="31"/>
      <c r="I55" s="32">
        <v>158.08</v>
      </c>
    </row>
    <row r="56" spans="2:9" ht="16" outlineLevel="1">
      <c r="B56" s="26" t="s">
        <v>69</v>
      </c>
      <c r="C56" s="31" t="s">
        <v>56</v>
      </c>
      <c r="D56" s="31" t="s">
        <v>70</v>
      </c>
      <c r="E56" s="31" t="s">
        <v>71</v>
      </c>
      <c r="F56" s="31" t="s">
        <v>6</v>
      </c>
      <c r="G56" s="31" t="s">
        <v>73</v>
      </c>
      <c r="H56" s="32">
        <v>158.08</v>
      </c>
      <c r="I56" s="31"/>
    </row>
    <row r="57" spans="1:9" ht="16">
      <c r="A57" s="38" t="s">
        <v>74</v>
      </c>
      <c r="H57" s="33">
        <f>H55+H56</f>
        <v>158.08</v>
      </c>
      <c r="I57" s="33">
        <f>I55+I56</f>
        <v>158.08</v>
      </c>
    </row>
    <row r="58" spans="1:1" ht="16">
      <c r="A58" s="39" t="s">
        <v>75</v>
      </c>
    </row>
    <row r="59" spans="2:9" ht="16" outlineLevel="1">
      <c r="B59" s="26" t="s">
        <v>76</v>
      </c>
      <c r="C59" s="31" t="s">
        <v>77</v>
      </c>
      <c r="D59" s="31" t="s">
        <v>3</v>
      </c>
      <c r="E59" s="31" t="s">
        <v>78</v>
      </c>
      <c r="F59" s="31" t="s">
        <v>6</v>
      </c>
      <c r="G59" s="31" t="s">
        <v>8</v>
      </c>
      <c r="H59" s="31"/>
      <c r="I59" s="32">
        <v>54.55</v>
      </c>
    </row>
    <row r="60" spans="2:9" ht="16" outlineLevel="1">
      <c r="B60" s="26" t="s">
        <v>76</v>
      </c>
      <c r="C60" s="31" t="s">
        <v>77</v>
      </c>
      <c r="D60" s="31" t="s">
        <v>3</v>
      </c>
      <c r="E60" s="31" t="s">
        <v>78</v>
      </c>
      <c r="F60" s="31" t="s">
        <v>6</v>
      </c>
      <c r="G60" s="31" t="s">
        <v>79</v>
      </c>
      <c r="H60" s="32">
        <v>54.55</v>
      </c>
      <c r="I60" s="31"/>
    </row>
    <row r="61" spans="1:9" ht="16">
      <c r="A61" s="38" t="s">
        <v>80</v>
      </c>
      <c r="H61" s="33">
        <f>H59+H60</f>
        <v>54.55</v>
      </c>
      <c r="I61" s="33">
        <f>I59+I60</f>
        <v>54.55</v>
      </c>
    </row>
    <row r="62" spans="1:1" ht="16">
      <c r="A62" s="39" t="s">
        <v>81</v>
      </c>
    </row>
    <row r="63" spans="2:9" ht="16" outlineLevel="1">
      <c r="B63" s="26" t="s">
        <v>82</v>
      </c>
      <c r="C63" s="31" t="s">
        <v>21</v>
      </c>
      <c r="D63" s="31" t="s">
        <v>83</v>
      </c>
      <c r="E63" s="31" t="s">
        <v>84</v>
      </c>
      <c r="F63" s="31" t="s">
        <v>6</v>
      </c>
      <c r="G63" s="31" t="s">
        <v>24</v>
      </c>
      <c r="H63" s="32">
        <v>75.0</v>
      </c>
      <c r="I63" s="31"/>
    </row>
    <row r="64" spans="2:9" ht="16" outlineLevel="1">
      <c r="B64" s="26" t="s">
        <v>82</v>
      </c>
      <c r="C64" s="31" t="s">
        <v>21</v>
      </c>
      <c r="D64" s="31" t="s">
        <v>83</v>
      </c>
      <c r="E64" s="31" t="s">
        <v>84</v>
      </c>
      <c r="F64" s="31" t="s">
        <v>25</v>
      </c>
      <c r="G64" s="31" t="s">
        <v>26</v>
      </c>
      <c r="H64" s="31"/>
      <c r="I64" s="32">
        <v>75.0</v>
      </c>
    </row>
    <row r="65" spans="1:9" ht="16">
      <c r="A65" s="38" t="s">
        <v>85</v>
      </c>
      <c r="H65" s="33">
        <f>H63+H64</f>
        <v>75.0</v>
      </c>
      <c r="I65" s="33">
        <f>I63+I64</f>
        <v>75.0</v>
      </c>
    </row>
    <row r="66" spans="1:1" ht="16">
      <c r="A66" s="39" t="s">
        <v>86</v>
      </c>
    </row>
    <row r="67" spans="2:9" ht="16" outlineLevel="1">
      <c r="B67" s="26" t="s">
        <v>87</v>
      </c>
      <c r="C67" s="31" t="s">
        <v>21</v>
      </c>
      <c r="D67" s="31" t="s">
        <v>88</v>
      </c>
      <c r="E67" s="31" t="s">
        <v>89</v>
      </c>
      <c r="F67" s="31" t="s">
        <v>6</v>
      </c>
      <c r="G67" s="31" t="s">
        <v>24</v>
      </c>
      <c r="H67" s="32">
        <v>205.0</v>
      </c>
      <c r="I67" s="31"/>
    </row>
    <row r="68" spans="2:9" ht="16" outlineLevel="1">
      <c r="B68" s="26" t="s">
        <v>87</v>
      </c>
      <c r="C68" s="31" t="s">
        <v>21</v>
      </c>
      <c r="D68" s="31" t="s">
        <v>88</v>
      </c>
      <c r="E68" s="31" t="s">
        <v>89</v>
      </c>
      <c r="F68" s="31" t="s">
        <v>25</v>
      </c>
      <c r="G68" s="31" t="s">
        <v>26</v>
      </c>
      <c r="H68" s="31"/>
      <c r="I68" s="32">
        <v>120.0</v>
      </c>
    </row>
    <row r="69" spans="2:9" ht="16" outlineLevel="1">
      <c r="B69" s="26" t="s">
        <v>87</v>
      </c>
      <c r="C69" s="31" t="s">
        <v>21</v>
      </c>
      <c r="D69" s="31" t="s">
        <v>88</v>
      </c>
      <c r="E69" s="31" t="s">
        <v>89</v>
      </c>
      <c r="F69" s="31" t="s">
        <v>27</v>
      </c>
      <c r="G69" s="31" t="s">
        <v>27</v>
      </c>
      <c r="H69" s="31"/>
      <c r="I69" s="32">
        <v>35.0</v>
      </c>
    </row>
    <row r="70" spans="2:9" ht="16" outlineLevel="1">
      <c r="B70" s="26" t="s">
        <v>87</v>
      </c>
      <c r="C70" s="31" t="s">
        <v>21</v>
      </c>
      <c r="D70" s="31" t="s">
        <v>88</v>
      </c>
      <c r="E70" s="31" t="s">
        <v>89</v>
      </c>
      <c r="F70" s="31" t="s">
        <v>90</v>
      </c>
      <c r="G70" s="31" t="s">
        <v>91</v>
      </c>
      <c r="H70" s="31"/>
      <c r="I70" s="32">
        <v>50.0</v>
      </c>
    </row>
    <row r="71" spans="1:9" ht="16">
      <c r="A71" s="38" t="s">
        <v>92</v>
      </c>
      <c r="H71" s="33">
        <f>H67+H68+H69+H70</f>
        <v>205.0</v>
      </c>
      <c r="I71" s="33">
        <f>I67+I68+I69+I70</f>
        <v>205.0</v>
      </c>
    </row>
    <row r="72" spans="1:1" ht="16">
      <c r="A72" s="39" t="s">
        <v>93</v>
      </c>
    </row>
    <row r="73" spans="2:9" ht="16" outlineLevel="1">
      <c r="B73" s="26" t="s">
        <v>87</v>
      </c>
      <c r="C73" s="31" t="s">
        <v>21</v>
      </c>
      <c r="D73" s="31" t="s">
        <v>94</v>
      </c>
      <c r="E73" s="31" t="s">
        <v>23</v>
      </c>
      <c r="F73" s="31" t="s">
        <v>6</v>
      </c>
      <c r="G73" s="31" t="s">
        <v>24</v>
      </c>
      <c r="H73" s="32">
        <v>85.0</v>
      </c>
      <c r="I73" s="31"/>
    </row>
    <row r="74" spans="2:9" ht="16" outlineLevel="1">
      <c r="B74" s="26" t="s">
        <v>87</v>
      </c>
      <c r="C74" s="31" t="s">
        <v>21</v>
      </c>
      <c r="D74" s="31" t="s">
        <v>94</v>
      </c>
      <c r="E74" s="31" t="s">
        <v>23</v>
      </c>
      <c r="F74" s="31" t="s">
        <v>25</v>
      </c>
      <c r="G74" s="31" t="s">
        <v>26</v>
      </c>
      <c r="H74" s="31"/>
      <c r="I74" s="32">
        <v>50.0</v>
      </c>
    </row>
    <row r="75" spans="2:9" ht="16" outlineLevel="1">
      <c r="B75" s="26" t="s">
        <v>87</v>
      </c>
      <c r="C75" s="31" t="s">
        <v>21</v>
      </c>
      <c r="D75" s="31" t="s">
        <v>94</v>
      </c>
      <c r="E75" s="31" t="s">
        <v>23</v>
      </c>
      <c r="F75" s="31" t="s">
        <v>27</v>
      </c>
      <c r="G75" s="31" t="s">
        <v>27</v>
      </c>
      <c r="H75" s="31"/>
      <c r="I75" s="32">
        <v>35.0</v>
      </c>
    </row>
    <row r="76" spans="1:9" ht="16">
      <c r="A76" s="38" t="s">
        <v>95</v>
      </c>
      <c r="H76" s="33">
        <f>H73+H74+H75</f>
        <v>85.0</v>
      </c>
      <c r="I76" s="33">
        <f>I73+I74+I75</f>
        <v>85.0</v>
      </c>
    </row>
    <row r="77" spans="1:1" ht="16">
      <c r="A77" s="39" t="s">
        <v>96</v>
      </c>
    </row>
    <row r="78" spans="2:9" ht="16" outlineLevel="1">
      <c r="B78" s="26" t="s">
        <v>87</v>
      </c>
      <c r="C78" s="31" t="s">
        <v>21</v>
      </c>
      <c r="D78" s="31" t="s">
        <v>97</v>
      </c>
      <c r="E78" s="31" t="s">
        <v>98</v>
      </c>
      <c r="F78" s="31" t="s">
        <v>6</v>
      </c>
      <c r="G78" s="31" t="s">
        <v>24</v>
      </c>
      <c r="H78" s="32">
        <v>81.0</v>
      </c>
      <c r="I78" s="31"/>
    </row>
    <row r="79" spans="2:9" ht="16" outlineLevel="1">
      <c r="B79" s="26" t="s">
        <v>87</v>
      </c>
      <c r="C79" s="31" t="s">
        <v>21</v>
      </c>
      <c r="D79" s="31" t="s">
        <v>97</v>
      </c>
      <c r="E79" s="31" t="s">
        <v>98</v>
      </c>
      <c r="F79" s="31" t="s">
        <v>25</v>
      </c>
      <c r="G79" s="31" t="s">
        <v>26</v>
      </c>
      <c r="H79" s="31"/>
      <c r="I79" s="32">
        <v>75.0</v>
      </c>
    </row>
    <row r="80" spans="2:9" ht="16" outlineLevel="1">
      <c r="B80" s="26" t="s">
        <v>87</v>
      </c>
      <c r="C80" s="31" t="s">
        <v>21</v>
      </c>
      <c r="D80" s="31" t="s">
        <v>97</v>
      </c>
      <c r="E80" s="31" t="s">
        <v>98</v>
      </c>
      <c r="F80" s="31" t="s">
        <v>6</v>
      </c>
      <c r="G80" s="31" t="s">
        <v>34</v>
      </c>
      <c r="H80" s="31"/>
      <c r="I80" s="32">
        <v>6.0</v>
      </c>
    </row>
    <row r="81" spans="1:9" ht="16">
      <c r="A81" s="38" t="s">
        <v>99</v>
      </c>
      <c r="H81" s="33">
        <f>H78+H79+H80</f>
        <v>81.0</v>
      </c>
      <c r="I81" s="33">
        <f>I78+I79+I80</f>
        <v>81.0</v>
      </c>
    </row>
    <row r="82" spans="1:1" ht="16">
      <c r="A82" s="39" t="s">
        <v>100</v>
      </c>
    </row>
    <row r="83" spans="2:9" ht="16" outlineLevel="1">
      <c r="B83" s="26" t="s">
        <v>87</v>
      </c>
      <c r="C83" s="31" t="s">
        <v>21</v>
      </c>
      <c r="D83" s="31" t="s">
        <v>101</v>
      </c>
      <c r="E83" s="31" t="s">
        <v>102</v>
      </c>
      <c r="F83" s="31" t="s">
        <v>6</v>
      </c>
      <c r="G83" s="31" t="s">
        <v>24</v>
      </c>
      <c r="H83" s="32">
        <v>460.4</v>
      </c>
      <c r="I83" s="31"/>
    </row>
    <row r="84" spans="2:9" ht="16" outlineLevel="1">
      <c r="B84" s="26" t="s">
        <v>87</v>
      </c>
      <c r="C84" s="31" t="s">
        <v>21</v>
      </c>
      <c r="D84" s="31" t="s">
        <v>101</v>
      </c>
      <c r="E84" s="31" t="s">
        <v>102</v>
      </c>
      <c r="F84" s="31" t="s">
        <v>103</v>
      </c>
      <c r="G84" s="31" t="s">
        <v>52</v>
      </c>
      <c r="H84" s="31"/>
      <c r="I84" s="32">
        <v>75.0</v>
      </c>
    </row>
    <row r="85" spans="2:9" ht="16" outlineLevel="1">
      <c r="B85" s="26" t="s">
        <v>87</v>
      </c>
      <c r="C85" s="31" t="s">
        <v>21</v>
      </c>
      <c r="D85" s="31" t="s">
        <v>101</v>
      </c>
      <c r="E85" s="31" t="s">
        <v>102</v>
      </c>
      <c r="F85" s="31" t="s">
        <v>66</v>
      </c>
      <c r="G85" s="31" t="s">
        <v>52</v>
      </c>
      <c r="H85" s="31"/>
      <c r="I85" s="32">
        <v>72.0</v>
      </c>
    </row>
    <row r="86" spans="2:9" ht="16" outlineLevel="1">
      <c r="B86" s="26" t="s">
        <v>87</v>
      </c>
      <c r="C86" s="31" t="s">
        <v>21</v>
      </c>
      <c r="D86" s="31" t="s">
        <v>101</v>
      </c>
      <c r="E86" s="31" t="s">
        <v>102</v>
      </c>
      <c r="F86" s="31" t="s">
        <v>51</v>
      </c>
      <c r="G86" s="31" t="s">
        <v>52</v>
      </c>
      <c r="H86" s="31"/>
      <c r="I86" s="32">
        <v>275.0</v>
      </c>
    </row>
    <row r="87" spans="2:9" ht="16" outlineLevel="1">
      <c r="B87" s="26" t="s">
        <v>87</v>
      </c>
      <c r="C87" s="31" t="s">
        <v>21</v>
      </c>
      <c r="D87" s="31" t="s">
        <v>101</v>
      </c>
      <c r="E87" s="31" t="s">
        <v>102</v>
      </c>
      <c r="F87" s="31" t="s">
        <v>6</v>
      </c>
      <c r="G87" s="31" t="s">
        <v>104</v>
      </c>
      <c r="H87" s="31"/>
      <c r="I87" s="32">
        <v>29.96</v>
      </c>
    </row>
    <row r="88" spans="2:9" ht="16" outlineLevel="1">
      <c r="B88" s="26" t="s">
        <v>87</v>
      </c>
      <c r="C88" s="31" t="s">
        <v>21</v>
      </c>
      <c r="D88" s="31" t="s">
        <v>101</v>
      </c>
      <c r="E88" s="31" t="s">
        <v>102</v>
      </c>
      <c r="F88" s="31" t="s">
        <v>6</v>
      </c>
      <c r="G88" s="31" t="s">
        <v>104</v>
      </c>
      <c r="H88" s="31"/>
      <c r="I88" s="32">
        <v>8.44</v>
      </c>
    </row>
    <row r="89" spans="1:9" ht="16">
      <c r="A89" s="38" t="s">
        <v>105</v>
      </c>
      <c r="H89" s="33">
        <f>H83+H84+H85+H86+H87+H88</f>
        <v>460.4</v>
      </c>
      <c r="I89" s="33">
        <f>I83+I84+I85+I86+I87+I88</f>
        <v>460.4</v>
      </c>
    </row>
    <row r="90" spans="1:1" ht="16">
      <c r="A90" s="39" t="s">
        <v>106</v>
      </c>
    </row>
    <row r="91" spans="2:9" ht="16" outlineLevel="1">
      <c r="B91" s="26" t="s">
        <v>107</v>
      </c>
      <c r="C91" s="31" t="s">
        <v>13</v>
      </c>
      <c r="D91" s="31" t="s">
        <v>6</v>
      </c>
      <c r="E91" s="31" t="s">
        <v>108</v>
      </c>
      <c r="F91" s="31" t="s">
        <v>6</v>
      </c>
      <c r="G91" s="31" t="s">
        <v>16</v>
      </c>
      <c r="H91" s="31"/>
      <c r="I91" s="32">
        <v>56.5</v>
      </c>
    </row>
    <row r="92" spans="2:9" ht="16" outlineLevel="1">
      <c r="B92" s="26" t="s">
        <v>107</v>
      </c>
      <c r="C92" s="31" t="s">
        <v>13</v>
      </c>
      <c r="D92" s="31" t="s">
        <v>6</v>
      </c>
      <c r="E92" s="31" t="s">
        <v>108</v>
      </c>
      <c r="F92" s="31" t="s">
        <v>6</v>
      </c>
      <c r="G92" s="31" t="s">
        <v>109</v>
      </c>
      <c r="H92" s="32">
        <v>56.5</v>
      </c>
      <c r="I92" s="31"/>
    </row>
    <row r="93" spans="1:9" ht="16">
      <c r="A93" s="38" t="s">
        <v>110</v>
      </c>
      <c r="H93" s="33">
        <f>H91+H92</f>
        <v>56.5</v>
      </c>
      <c r="I93" s="33">
        <f>I91+I92</f>
        <v>56.5</v>
      </c>
    </row>
    <row r="94" spans="1:1" ht="16">
      <c r="A94" s="39" t="s">
        <v>111</v>
      </c>
    </row>
    <row r="95" spans="2:9" ht="16" outlineLevel="1">
      <c r="B95" s="26" t="s">
        <v>112</v>
      </c>
      <c r="C95" s="31" t="s">
        <v>13</v>
      </c>
      <c r="D95" s="31" t="s">
        <v>6</v>
      </c>
      <c r="E95" s="31" t="s">
        <v>113</v>
      </c>
      <c r="F95" s="31" t="s">
        <v>6</v>
      </c>
      <c r="G95" s="31" t="s">
        <v>16</v>
      </c>
      <c r="H95" s="31"/>
      <c r="I95" s="32">
        <v>86.44</v>
      </c>
    </row>
    <row r="96" spans="2:9" ht="16" outlineLevel="1">
      <c r="B96" s="26" t="s">
        <v>112</v>
      </c>
      <c r="C96" s="31" t="s">
        <v>13</v>
      </c>
      <c r="D96" s="31" t="s">
        <v>6</v>
      </c>
      <c r="E96" s="31" t="s">
        <v>113</v>
      </c>
      <c r="F96" s="31" t="s">
        <v>6</v>
      </c>
      <c r="G96" s="31" t="s">
        <v>114</v>
      </c>
      <c r="H96" s="32">
        <v>86.44</v>
      </c>
      <c r="I96" s="31"/>
    </row>
    <row r="97" spans="1:9" ht="16">
      <c r="A97" s="38" t="s">
        <v>115</v>
      </c>
      <c r="H97" s="33">
        <f>H95+H96</f>
        <v>86.44</v>
      </c>
      <c r="I97" s="33">
        <f>I95+I96</f>
        <v>86.44</v>
      </c>
    </row>
    <row r="98" spans="1:1" ht="16">
      <c r="A98" s="39" t="s">
        <v>116</v>
      </c>
    </row>
    <row r="99" spans="2:9" ht="16" outlineLevel="1">
      <c r="B99" s="26" t="s">
        <v>117</v>
      </c>
      <c r="C99" s="31" t="s">
        <v>118</v>
      </c>
      <c r="D99" s="31" t="s">
        <v>6</v>
      </c>
      <c r="E99" s="31" t="s">
        <v>6</v>
      </c>
      <c r="F99" s="31" t="s">
        <v>119</v>
      </c>
      <c r="G99" s="31" t="s">
        <v>8</v>
      </c>
      <c r="H99" s="31"/>
      <c r="I99" s="32">
        <v>38.4</v>
      </c>
    </row>
    <row r="100" spans="2:9" ht="16" outlineLevel="1">
      <c r="B100" s="26" t="s">
        <v>117</v>
      </c>
      <c r="C100" s="31" t="s">
        <v>118</v>
      </c>
      <c r="D100" s="31" t="s">
        <v>6</v>
      </c>
      <c r="E100" s="31" t="s">
        <v>6</v>
      </c>
      <c r="F100" s="31" t="s">
        <v>119</v>
      </c>
      <c r="G100" s="31" t="s">
        <v>104</v>
      </c>
      <c r="H100" s="32">
        <v>38.4</v>
      </c>
      <c r="I100" s="31"/>
    </row>
    <row r="101" spans="1:9" ht="16">
      <c r="A101" s="38" t="s">
        <v>120</v>
      </c>
      <c r="H101" s="33">
        <f>H99+H100</f>
        <v>38.4</v>
      </c>
      <c r="I101" s="33">
        <f>I99+I100</f>
        <v>38.4</v>
      </c>
    </row>
    <row r="102" spans="1:1" ht="16">
      <c r="A102" s="39" t="s">
        <v>121</v>
      </c>
    </row>
    <row r="103" spans="2:9" ht="16" outlineLevel="1">
      <c r="B103" s="26" t="s">
        <v>117</v>
      </c>
      <c r="C103" s="31" t="s">
        <v>118</v>
      </c>
      <c r="D103" s="31" t="s">
        <v>6</v>
      </c>
      <c r="E103" s="31" t="s">
        <v>6</v>
      </c>
      <c r="F103" s="31" t="s">
        <v>119</v>
      </c>
      <c r="G103" s="31" t="s">
        <v>8</v>
      </c>
      <c r="H103" s="31"/>
      <c r="I103" s="32">
        <v>38.5</v>
      </c>
    </row>
    <row r="104" spans="2:9" ht="16" outlineLevel="1">
      <c r="B104" s="26" t="s">
        <v>117</v>
      </c>
      <c r="C104" s="31" t="s">
        <v>118</v>
      </c>
      <c r="D104" s="31" t="s">
        <v>6</v>
      </c>
      <c r="E104" s="31" t="s">
        <v>6</v>
      </c>
      <c r="F104" s="31" t="s">
        <v>119</v>
      </c>
      <c r="G104" s="31" t="s">
        <v>34</v>
      </c>
      <c r="H104" s="32">
        <v>38.5</v>
      </c>
      <c r="I104" s="31"/>
    </row>
    <row r="105" spans="1:9" ht="16">
      <c r="A105" s="38" t="s">
        <v>122</v>
      </c>
      <c r="H105" s="33">
        <f>H103+H104</f>
        <v>38.5</v>
      </c>
      <c r="I105" s="33">
        <f>I103+I104</f>
        <v>38.5</v>
      </c>
    </row>
    <row r="106" spans="1:1" ht="16">
      <c r="A106" s="39" t="s">
        <v>123</v>
      </c>
    </row>
    <row r="107" spans="2:9" ht="16" outlineLevel="1">
      <c r="B107" s="26" t="s">
        <v>124</v>
      </c>
      <c r="C107" s="31" t="s">
        <v>56</v>
      </c>
      <c r="D107" s="31" t="s">
        <v>125</v>
      </c>
      <c r="E107" s="31" t="s">
        <v>71</v>
      </c>
      <c r="F107" s="31" t="s">
        <v>6</v>
      </c>
      <c r="G107" s="31" t="s">
        <v>8</v>
      </c>
      <c r="H107" s="31"/>
      <c r="I107" s="32">
        <v>89.09</v>
      </c>
    </row>
    <row r="108" spans="2:9" ht="16" outlineLevel="1">
      <c r="B108" s="26" t="s">
        <v>124</v>
      </c>
      <c r="C108" s="31" t="s">
        <v>56</v>
      </c>
      <c r="D108" s="31" t="s">
        <v>125</v>
      </c>
      <c r="E108" s="31" t="s">
        <v>71</v>
      </c>
      <c r="F108" s="31" t="s">
        <v>126</v>
      </c>
      <c r="G108" s="31" t="s">
        <v>73</v>
      </c>
      <c r="H108" s="32">
        <v>89.09</v>
      </c>
      <c r="I108" s="31"/>
    </row>
    <row r="109" spans="1:9" ht="16">
      <c r="A109" s="38" t="s">
        <v>127</v>
      </c>
      <c r="H109" s="33">
        <f>H107+H108</f>
        <v>89.09</v>
      </c>
      <c r="I109" s="33">
        <f>I107+I108</f>
        <v>89.09</v>
      </c>
    </row>
    <row r="110" spans="1:1" ht="16">
      <c r="A110" s="39" t="s">
        <v>128</v>
      </c>
    </row>
    <row r="111" spans="2:9" ht="16" outlineLevel="1">
      <c r="B111" s="26" t="s">
        <v>124</v>
      </c>
      <c r="C111" s="31" t="s">
        <v>77</v>
      </c>
      <c r="D111" s="31" t="s">
        <v>57</v>
      </c>
      <c r="E111" s="31" t="s">
        <v>129</v>
      </c>
      <c r="F111" s="31" t="s">
        <v>6</v>
      </c>
      <c r="G111" s="31" t="s">
        <v>8</v>
      </c>
      <c r="H111" s="31"/>
      <c r="I111" s="32">
        <v>55.0</v>
      </c>
    </row>
    <row r="112" spans="2:9" ht="16" outlineLevel="1">
      <c r="B112" s="26" t="s">
        <v>124</v>
      </c>
      <c r="C112" s="31" t="s">
        <v>77</v>
      </c>
      <c r="D112" s="31" t="s">
        <v>57</v>
      </c>
      <c r="E112" s="31" t="s">
        <v>129</v>
      </c>
      <c r="F112" s="31" t="s">
        <v>6</v>
      </c>
      <c r="G112" s="31" t="s">
        <v>130</v>
      </c>
      <c r="H112" s="32">
        <v>55.0</v>
      </c>
      <c r="I112" s="31"/>
    </row>
    <row r="113" spans="1:9" ht="16">
      <c r="A113" s="38" t="s">
        <v>131</v>
      </c>
      <c r="H113" s="33">
        <f>H111+H112</f>
        <v>55.0</v>
      </c>
      <c r="I113" s="33">
        <f>I111+I112</f>
        <v>55.0</v>
      </c>
    </row>
    <row r="114" spans="1:1" ht="16">
      <c r="A114" s="39" t="s">
        <v>132</v>
      </c>
    </row>
    <row r="115" spans="2:9" ht="16" outlineLevel="1">
      <c r="B115" s="26" t="s">
        <v>133</v>
      </c>
      <c r="C115" s="31" t="s">
        <v>21</v>
      </c>
      <c r="D115" s="31" t="s">
        <v>134</v>
      </c>
      <c r="E115" s="31" t="s">
        <v>98</v>
      </c>
      <c r="F115" s="31" t="s">
        <v>6</v>
      </c>
      <c r="G115" s="31" t="s">
        <v>24</v>
      </c>
      <c r="H115" s="32">
        <v>86.4</v>
      </c>
      <c r="I115" s="31"/>
    </row>
    <row r="116" spans="2:9" ht="16" outlineLevel="1">
      <c r="B116" s="26" t="s">
        <v>133</v>
      </c>
      <c r="C116" s="31" t="s">
        <v>21</v>
      </c>
      <c r="D116" s="31" t="s">
        <v>134</v>
      </c>
      <c r="E116" s="31" t="s">
        <v>98</v>
      </c>
      <c r="F116" s="31" t="s">
        <v>25</v>
      </c>
      <c r="G116" s="31" t="s">
        <v>26</v>
      </c>
      <c r="H116" s="31"/>
      <c r="I116" s="32">
        <v>80.0</v>
      </c>
    </row>
    <row r="117" spans="2:9" ht="16" outlineLevel="1">
      <c r="B117" s="26" t="s">
        <v>133</v>
      </c>
      <c r="C117" s="31" t="s">
        <v>21</v>
      </c>
      <c r="D117" s="31" t="s">
        <v>134</v>
      </c>
      <c r="E117" s="31" t="s">
        <v>98</v>
      </c>
      <c r="F117" s="31" t="s">
        <v>6</v>
      </c>
      <c r="G117" s="31" t="s">
        <v>34</v>
      </c>
      <c r="H117" s="31"/>
      <c r="I117" s="32">
        <v>6.4</v>
      </c>
    </row>
    <row r="118" spans="1:9" ht="16">
      <c r="A118" s="38" t="s">
        <v>135</v>
      </c>
      <c r="H118" s="33">
        <f>H115+H116+H117</f>
        <v>86.4</v>
      </c>
      <c r="I118" s="33">
        <f>I115+I116+I117</f>
        <v>86.4</v>
      </c>
    </row>
    <row r="119" spans="1:1" ht="16">
      <c r="A119" s="39" t="s">
        <v>136</v>
      </c>
    </row>
    <row r="120" spans="2:9" ht="16" outlineLevel="1">
      <c r="B120" s="26" t="s">
        <v>137</v>
      </c>
      <c r="C120" s="31" t="s">
        <v>13</v>
      </c>
      <c r="D120" s="31" t="s">
        <v>6</v>
      </c>
      <c r="E120" s="31" t="s">
        <v>138</v>
      </c>
      <c r="F120" s="31" t="s">
        <v>7</v>
      </c>
      <c r="G120" s="31" t="s">
        <v>16</v>
      </c>
      <c r="H120" s="31"/>
      <c r="I120" s="32">
        <v>250.0</v>
      </c>
    </row>
    <row r="121" spans="2:9" ht="16" outlineLevel="1">
      <c r="B121" s="26" t="s">
        <v>137</v>
      </c>
      <c r="C121" s="31" t="s">
        <v>13</v>
      </c>
      <c r="D121" s="31" t="s">
        <v>6</v>
      </c>
      <c r="E121" s="31" t="s">
        <v>138</v>
      </c>
      <c r="F121" s="31" t="s">
        <v>6</v>
      </c>
      <c r="G121" s="31" t="s">
        <v>139</v>
      </c>
      <c r="H121" s="32">
        <v>250.0</v>
      </c>
      <c r="I121" s="31"/>
    </row>
    <row r="122" spans="1:9" ht="16">
      <c r="A122" s="38" t="s">
        <v>140</v>
      </c>
      <c r="H122" s="33">
        <f>H120+H121</f>
        <v>250.0</v>
      </c>
      <c r="I122" s="33">
        <f>I120+I121</f>
        <v>250.0</v>
      </c>
    </row>
    <row r="123" spans="1:1" ht="16">
      <c r="A123" s="39" t="s">
        <v>141</v>
      </c>
    </row>
    <row r="124" spans="2:9" ht="16" outlineLevel="1">
      <c r="B124" s="26" t="s">
        <v>142</v>
      </c>
      <c r="C124" s="31" t="s">
        <v>77</v>
      </c>
      <c r="D124" s="31" t="s">
        <v>143</v>
      </c>
      <c r="E124" s="31" t="s">
        <v>78</v>
      </c>
      <c r="F124" s="31" t="s">
        <v>6</v>
      </c>
      <c r="G124" s="31" t="s">
        <v>8</v>
      </c>
      <c r="H124" s="31"/>
      <c r="I124" s="32">
        <v>62.01</v>
      </c>
    </row>
    <row r="125" spans="2:9" ht="16" outlineLevel="1">
      <c r="B125" s="26" t="s">
        <v>142</v>
      </c>
      <c r="C125" s="31" t="s">
        <v>77</v>
      </c>
      <c r="D125" s="31" t="s">
        <v>143</v>
      </c>
      <c r="E125" s="31" t="s">
        <v>78</v>
      </c>
      <c r="F125" s="31" t="s">
        <v>6</v>
      </c>
      <c r="G125" s="31" t="s">
        <v>79</v>
      </c>
      <c r="H125" s="32">
        <v>62.01</v>
      </c>
      <c r="I125" s="31"/>
    </row>
    <row r="126" spans="1:9" ht="16">
      <c r="A126" s="38" t="s">
        <v>144</v>
      </c>
      <c r="H126" s="33">
        <f>H124+H125</f>
        <v>62.01</v>
      </c>
      <c r="I126" s="33">
        <f>I124+I125</f>
        <v>62.01</v>
      </c>
    </row>
    <row r="127" spans="1:1" ht="16">
      <c r="A127" s="39" t="s">
        <v>145</v>
      </c>
    </row>
    <row r="128" spans="2:9" ht="16" outlineLevel="1">
      <c r="B128" s="26" t="s">
        <v>146</v>
      </c>
      <c r="C128" s="31" t="s">
        <v>56</v>
      </c>
      <c r="D128" s="31" t="s">
        <v>147</v>
      </c>
      <c r="E128" s="31" t="s">
        <v>71</v>
      </c>
      <c r="F128" s="31" t="s">
        <v>6</v>
      </c>
      <c r="G128" s="31" t="s">
        <v>8</v>
      </c>
      <c r="H128" s="31"/>
      <c r="I128" s="32">
        <v>108.09</v>
      </c>
    </row>
    <row r="129" spans="2:9" ht="16" outlineLevel="1">
      <c r="B129" s="26" t="s">
        <v>146</v>
      </c>
      <c r="C129" s="31" t="s">
        <v>56</v>
      </c>
      <c r="D129" s="31" t="s">
        <v>147</v>
      </c>
      <c r="E129" s="31" t="s">
        <v>71</v>
      </c>
      <c r="F129" s="31" t="s">
        <v>6</v>
      </c>
      <c r="G129" s="31" t="s">
        <v>148</v>
      </c>
      <c r="H129" s="32">
        <v>108.09</v>
      </c>
      <c r="I129" s="31"/>
    </row>
    <row r="130" spans="1:9" ht="16">
      <c r="A130" s="38" t="s">
        <v>149</v>
      </c>
      <c r="H130" s="33">
        <f>H128+H129</f>
        <v>108.09</v>
      </c>
      <c r="I130" s="33">
        <f>I128+I129</f>
        <v>108.09</v>
      </c>
    </row>
    <row r="131" spans="1:1" ht="16">
      <c r="A131" s="39" t="s">
        <v>150</v>
      </c>
    </row>
    <row r="132" spans="2:9" ht="16" outlineLevel="1">
      <c r="B132" s="26" t="s">
        <v>151</v>
      </c>
      <c r="C132" s="31" t="s">
        <v>42</v>
      </c>
      <c r="D132" s="31" t="s">
        <v>6</v>
      </c>
      <c r="E132" s="31" t="s">
        <v>102</v>
      </c>
      <c r="F132" s="31" t="s">
        <v>6</v>
      </c>
      <c r="G132" s="31" t="s">
        <v>46</v>
      </c>
      <c r="H132" s="32">
        <v>460.4</v>
      </c>
      <c r="I132" s="31"/>
    </row>
    <row r="133" spans="2:9" ht="16" outlineLevel="1">
      <c r="B133" s="26" t="s">
        <v>151</v>
      </c>
      <c r="C133" s="31" t="s">
        <v>42</v>
      </c>
      <c r="D133" s="31" t="s">
        <v>6</v>
      </c>
      <c r="E133" s="31" t="s">
        <v>102</v>
      </c>
      <c r="F133" s="31" t="s">
        <v>6</v>
      </c>
      <c r="G133" s="31" t="s">
        <v>24</v>
      </c>
      <c r="H133" s="31"/>
      <c r="I133" s="32">
        <v>460.4</v>
      </c>
    </row>
    <row r="134" spans="1:9" ht="16">
      <c r="A134" s="38" t="s">
        <v>152</v>
      </c>
      <c r="H134" s="33">
        <f>H132+H133</f>
        <v>460.4</v>
      </c>
      <c r="I134" s="33">
        <f>I132+I133</f>
        <v>460.4</v>
      </c>
    </row>
    <row r="135" spans="1:1" ht="16">
      <c r="A135" s="39" t="s">
        <v>147</v>
      </c>
    </row>
    <row r="136" spans="2:9" ht="16" outlineLevel="1">
      <c r="B136" s="26" t="s">
        <v>153</v>
      </c>
      <c r="C136" s="31" t="s">
        <v>42</v>
      </c>
      <c r="D136" s="31" t="s">
        <v>154</v>
      </c>
      <c r="E136" s="31" t="s">
        <v>98</v>
      </c>
      <c r="F136" s="31" t="s">
        <v>6</v>
      </c>
      <c r="G136" s="31" t="s">
        <v>8</v>
      </c>
      <c r="H136" s="32">
        <v>86.4</v>
      </c>
      <c r="I136" s="31"/>
    </row>
    <row r="137" spans="2:9" ht="16" outlineLevel="1">
      <c r="B137" s="26" t="s">
        <v>153</v>
      </c>
      <c r="C137" s="31" t="s">
        <v>42</v>
      </c>
      <c r="D137" s="31" t="s">
        <v>154</v>
      </c>
      <c r="E137" s="31" t="s">
        <v>98</v>
      </c>
      <c r="F137" s="31" t="s">
        <v>6</v>
      </c>
      <c r="G137" s="31" t="s">
        <v>24</v>
      </c>
      <c r="H137" s="31"/>
      <c r="I137" s="32">
        <v>86.4</v>
      </c>
    </row>
    <row r="138" spans="1:9" ht="16">
      <c r="A138" s="38" t="s">
        <v>155</v>
      </c>
      <c r="H138" s="33">
        <f>H136+H137</f>
        <v>86.4</v>
      </c>
      <c r="I138" s="33">
        <f>I136+I137</f>
        <v>86.4</v>
      </c>
    </row>
    <row r="139" spans="1:1" ht="16">
      <c r="A139" s="39" t="s">
        <v>156</v>
      </c>
    </row>
    <row r="140" spans="2:9" ht="16" outlineLevel="1">
      <c r="B140" s="26" t="s">
        <v>153</v>
      </c>
      <c r="C140" s="31" t="s">
        <v>21</v>
      </c>
      <c r="D140" s="31" t="s">
        <v>157</v>
      </c>
      <c r="E140" s="31" t="s">
        <v>158</v>
      </c>
      <c r="F140" s="31" t="s">
        <v>6</v>
      </c>
      <c r="G140" s="31" t="s">
        <v>24</v>
      </c>
      <c r="H140" s="32">
        <v>750.0</v>
      </c>
      <c r="I140" s="31"/>
    </row>
    <row r="141" spans="2:9" ht="16" outlineLevel="1">
      <c r="B141" s="26" t="s">
        <v>153</v>
      </c>
      <c r="C141" s="31" t="s">
        <v>21</v>
      </c>
      <c r="D141" s="31" t="s">
        <v>157</v>
      </c>
      <c r="E141" s="31" t="s">
        <v>158</v>
      </c>
      <c r="F141" s="31" t="s">
        <v>159</v>
      </c>
      <c r="G141" s="31" t="s">
        <v>160</v>
      </c>
      <c r="H141" s="31"/>
      <c r="I141" s="32">
        <v>750.0</v>
      </c>
    </row>
    <row r="142" spans="1:9" ht="16">
      <c r="A142" s="38" t="s">
        <v>161</v>
      </c>
      <c r="H142" s="33">
        <f>H140+H141</f>
        <v>750.0</v>
      </c>
      <c r="I142" s="33">
        <f>I140+I141</f>
        <v>750.0</v>
      </c>
    </row>
    <row r="143" spans="1:1" ht="16">
      <c r="A143" s="39" t="s">
        <v>162</v>
      </c>
    </row>
    <row r="144" spans="2:9" ht="16" outlineLevel="1">
      <c r="B144" s="26" t="s">
        <v>153</v>
      </c>
      <c r="C144" s="31" t="s">
        <v>163</v>
      </c>
      <c r="D144" s="31" t="s">
        <v>164</v>
      </c>
      <c r="E144" s="31" t="s">
        <v>165</v>
      </c>
      <c r="F144" s="31" t="s">
        <v>6</v>
      </c>
      <c r="G144" s="31" t="s">
        <v>8</v>
      </c>
      <c r="H144" s="32">
        <v>225.0</v>
      </c>
      <c r="I144" s="31"/>
    </row>
    <row r="145" spans="2:9" ht="16" outlineLevel="1">
      <c r="B145" s="26" t="s">
        <v>153</v>
      </c>
      <c r="C145" s="31" t="s">
        <v>163</v>
      </c>
      <c r="D145" s="31" t="s">
        <v>164</v>
      </c>
      <c r="E145" s="31" t="s">
        <v>165</v>
      </c>
      <c r="F145" s="31" t="s">
        <v>159</v>
      </c>
      <c r="G145" s="31" t="s">
        <v>160</v>
      </c>
      <c r="H145" s="31"/>
      <c r="I145" s="32">
        <v>225.0</v>
      </c>
    </row>
    <row r="146" spans="1:9" ht="16">
      <c r="A146" s="38" t="s">
        <v>166</v>
      </c>
      <c r="H146" s="33">
        <f>H144+H145</f>
        <v>225.0</v>
      </c>
      <c r="I146" s="33">
        <f>I144+I145</f>
        <v>225.0</v>
      </c>
    </row>
    <row r="147" spans="1:1" ht="16">
      <c r="A147" s="39" t="s">
        <v>167</v>
      </c>
    </row>
    <row r="148" spans="2:9" ht="16" outlineLevel="1">
      <c r="B148" s="26" t="s">
        <v>168</v>
      </c>
      <c r="C148" s="31" t="s">
        <v>42</v>
      </c>
      <c r="D148" s="31" t="s">
        <v>6</v>
      </c>
      <c r="E148" s="31" t="s">
        <v>89</v>
      </c>
      <c r="F148" s="31" t="s">
        <v>169</v>
      </c>
      <c r="G148" s="31" t="s">
        <v>8</v>
      </c>
      <c r="H148" s="32">
        <v>105.0</v>
      </c>
      <c r="I148" s="31"/>
    </row>
    <row r="149" spans="2:9" ht="16" outlineLevel="1">
      <c r="B149" s="26" t="s">
        <v>168</v>
      </c>
      <c r="C149" s="31" t="s">
        <v>42</v>
      </c>
      <c r="D149" s="31" t="s">
        <v>6</v>
      </c>
      <c r="E149" s="31" t="s">
        <v>89</v>
      </c>
      <c r="F149" s="31" t="s">
        <v>6</v>
      </c>
      <c r="G149" s="31" t="s">
        <v>24</v>
      </c>
      <c r="H149" s="31"/>
      <c r="I149" s="32">
        <v>105.0</v>
      </c>
    </row>
    <row r="150" spans="1:9" ht="16">
      <c r="A150" s="38" t="s">
        <v>170</v>
      </c>
      <c r="H150" s="33">
        <f>H148+H149</f>
        <v>105.0</v>
      </c>
      <c r="I150" s="33">
        <f>I148+I149</f>
        <v>105.0</v>
      </c>
    </row>
    <row r="151" spans="1:1" ht="16">
      <c r="A151" s="39" t="s">
        <v>171</v>
      </c>
    </row>
    <row r="152" spans="2:9" ht="16" outlineLevel="1">
      <c r="B152" s="26" t="s">
        <v>172</v>
      </c>
      <c r="C152" s="31" t="s">
        <v>21</v>
      </c>
      <c r="D152" s="31" t="s">
        <v>173</v>
      </c>
      <c r="E152" s="31" t="s">
        <v>89</v>
      </c>
      <c r="F152" s="31" t="s">
        <v>6</v>
      </c>
      <c r="G152" s="31" t="s">
        <v>24</v>
      </c>
      <c r="H152" s="32">
        <v>459.0</v>
      </c>
      <c r="I152" s="31"/>
    </row>
    <row r="153" spans="2:9" ht="16" outlineLevel="1">
      <c r="B153" s="26" t="s">
        <v>172</v>
      </c>
      <c r="C153" s="31" t="s">
        <v>21</v>
      </c>
      <c r="D153" s="31" t="s">
        <v>173</v>
      </c>
      <c r="E153" s="31" t="s">
        <v>89</v>
      </c>
      <c r="F153" s="31" t="s">
        <v>174</v>
      </c>
      <c r="G153" s="31" t="s">
        <v>33</v>
      </c>
      <c r="H153" s="31"/>
      <c r="I153" s="32">
        <v>150.0</v>
      </c>
    </row>
    <row r="154" spans="2:9" ht="16" outlineLevel="1">
      <c r="B154" s="26" t="s">
        <v>172</v>
      </c>
      <c r="C154" s="31" t="s">
        <v>21</v>
      </c>
      <c r="D154" s="31" t="s">
        <v>173</v>
      </c>
      <c r="E154" s="31" t="s">
        <v>89</v>
      </c>
      <c r="F154" s="31" t="s">
        <v>51</v>
      </c>
      <c r="G154" s="31" t="s">
        <v>52</v>
      </c>
      <c r="H154" s="31"/>
      <c r="I154" s="32">
        <v>275.0</v>
      </c>
    </row>
    <row r="155" spans="2:9" ht="16" outlineLevel="1">
      <c r="B155" s="26" t="s">
        <v>172</v>
      </c>
      <c r="C155" s="31" t="s">
        <v>21</v>
      </c>
      <c r="D155" s="31" t="s">
        <v>173</v>
      </c>
      <c r="E155" s="31" t="s">
        <v>89</v>
      </c>
      <c r="F155" s="31" t="s">
        <v>6</v>
      </c>
      <c r="G155" s="31" t="s">
        <v>34</v>
      </c>
      <c r="H155" s="31"/>
      <c r="I155" s="32">
        <v>34.0</v>
      </c>
    </row>
    <row r="156" spans="1:9" ht="16">
      <c r="A156" s="38" t="s">
        <v>175</v>
      </c>
      <c r="H156" s="33">
        <f>H152+H153+H154+H155</f>
        <v>459.0</v>
      </c>
      <c r="I156" s="33">
        <f>I152+I153+I154+I155</f>
        <v>459.0</v>
      </c>
    </row>
    <row r="157" spans="1:1" ht="16">
      <c r="A157" s="39" t="s">
        <v>176</v>
      </c>
    </row>
    <row r="158" spans="2:9" ht="16" outlineLevel="1">
      <c r="B158" s="26" t="s">
        <v>172</v>
      </c>
      <c r="C158" s="31" t="s">
        <v>21</v>
      </c>
      <c r="D158" s="31" t="s">
        <v>177</v>
      </c>
      <c r="E158" s="31" t="s">
        <v>178</v>
      </c>
      <c r="F158" s="31" t="s">
        <v>6</v>
      </c>
      <c r="G158" s="31" t="s">
        <v>24</v>
      </c>
      <c r="H158" s="32">
        <v>81.0</v>
      </c>
      <c r="I158" s="31"/>
    </row>
    <row r="159" spans="2:9" ht="16" outlineLevel="1">
      <c r="B159" s="26" t="s">
        <v>172</v>
      </c>
      <c r="C159" s="31" t="s">
        <v>21</v>
      </c>
      <c r="D159" s="31" t="s">
        <v>177</v>
      </c>
      <c r="E159" s="31" t="s">
        <v>178</v>
      </c>
      <c r="F159" s="31" t="s">
        <v>25</v>
      </c>
      <c r="G159" s="31" t="s">
        <v>26</v>
      </c>
      <c r="H159" s="31"/>
      <c r="I159" s="32">
        <v>75.0</v>
      </c>
    </row>
    <row r="160" spans="2:9" ht="16" outlineLevel="1">
      <c r="B160" s="26" t="s">
        <v>172</v>
      </c>
      <c r="C160" s="31" t="s">
        <v>21</v>
      </c>
      <c r="D160" s="31" t="s">
        <v>177</v>
      </c>
      <c r="E160" s="31" t="s">
        <v>178</v>
      </c>
      <c r="F160" s="31" t="s">
        <v>6</v>
      </c>
      <c r="G160" s="31" t="s">
        <v>34</v>
      </c>
      <c r="H160" s="31"/>
      <c r="I160" s="32">
        <v>6.0</v>
      </c>
    </row>
    <row r="161" spans="1:9" ht="16">
      <c r="A161" s="38" t="s">
        <v>179</v>
      </c>
      <c r="H161" s="33">
        <f>H158+H159+H160</f>
        <v>81.0</v>
      </c>
      <c r="I161" s="33">
        <f>I158+I159+I160</f>
        <v>81.0</v>
      </c>
    </row>
    <row r="162" spans="1:1" ht="16">
      <c r="A162" s="39" t="s">
        <v>180</v>
      </c>
    </row>
    <row r="163" spans="2:9" ht="16" outlineLevel="1">
      <c r="B163" s="26" t="s">
        <v>181</v>
      </c>
      <c r="C163" s="31" t="s">
        <v>38</v>
      </c>
      <c r="D163" s="31" t="s">
        <v>182</v>
      </c>
      <c r="E163" s="31" t="s">
        <v>138</v>
      </c>
      <c r="F163" s="31" t="s">
        <v>6</v>
      </c>
      <c r="G163" s="31" t="s">
        <v>8</v>
      </c>
      <c r="H163" s="31"/>
      <c r="I163" s="32">
        <v>250.0</v>
      </c>
    </row>
    <row r="164" spans="2:9" ht="16" outlineLevel="1">
      <c r="B164" s="26" t="s">
        <v>181</v>
      </c>
      <c r="C164" s="31" t="s">
        <v>38</v>
      </c>
      <c r="D164" s="31" t="s">
        <v>182</v>
      </c>
      <c r="E164" s="31" t="s">
        <v>138</v>
      </c>
      <c r="F164" s="31" t="s">
        <v>6</v>
      </c>
      <c r="G164" s="31" t="s">
        <v>16</v>
      </c>
      <c r="H164" s="32">
        <v>250.0</v>
      </c>
      <c r="I164" s="31"/>
    </row>
    <row r="165" spans="1:9" ht="16">
      <c r="A165" s="38" t="s">
        <v>183</v>
      </c>
      <c r="H165" s="33">
        <f>H163+H164</f>
        <v>250.0</v>
      </c>
      <c r="I165" s="33">
        <f>I163+I164</f>
        <v>250.0</v>
      </c>
    </row>
    <row r="166" spans="1:1" ht="16">
      <c r="A166" s="39" t="s">
        <v>184</v>
      </c>
    </row>
    <row r="167" spans="2:9" ht="16" outlineLevel="1">
      <c r="B167" s="26" t="s">
        <v>185</v>
      </c>
      <c r="C167" s="31" t="s">
        <v>56</v>
      </c>
      <c r="D167" s="31" t="s">
        <v>186</v>
      </c>
      <c r="E167" s="31" t="s">
        <v>138</v>
      </c>
      <c r="F167" s="31" t="s">
        <v>6</v>
      </c>
      <c r="G167" s="31" t="s">
        <v>8</v>
      </c>
      <c r="H167" s="31"/>
      <c r="I167" s="32">
        <v>24.36</v>
      </c>
    </row>
    <row r="168" spans="2:9" ht="16" outlineLevel="1">
      <c r="B168" s="26" t="s">
        <v>185</v>
      </c>
      <c r="C168" s="31" t="s">
        <v>56</v>
      </c>
      <c r="D168" s="31" t="s">
        <v>186</v>
      </c>
      <c r="E168" s="31" t="s">
        <v>138</v>
      </c>
      <c r="F168" s="31" t="s">
        <v>6</v>
      </c>
      <c r="G168" s="31" t="s">
        <v>33</v>
      </c>
      <c r="H168" s="32">
        <v>24.36</v>
      </c>
      <c r="I168" s="31"/>
    </row>
    <row r="169" spans="1:9" ht="16">
      <c r="A169" s="38" t="s">
        <v>187</v>
      </c>
      <c r="H169" s="33">
        <f>H167+H168</f>
        <v>24.36</v>
      </c>
      <c r="I169" s="33">
        <f>I167+I168</f>
        <v>24.36</v>
      </c>
    </row>
    <row r="170" spans="1:1" ht="16">
      <c r="A170" s="39" t="s">
        <v>188</v>
      </c>
    </row>
    <row r="171" spans="2:9" ht="16" outlineLevel="1">
      <c r="B171" s="26" t="s">
        <v>189</v>
      </c>
      <c r="C171" s="31" t="s">
        <v>190</v>
      </c>
      <c r="D171" s="31" t="s">
        <v>191</v>
      </c>
      <c r="E171" s="31" t="s">
        <v>89</v>
      </c>
      <c r="F171" s="31" t="s">
        <v>6</v>
      </c>
      <c r="G171" s="31" t="s">
        <v>24</v>
      </c>
      <c r="H171" s="31"/>
      <c r="I171" s="32">
        <v>100.0</v>
      </c>
    </row>
    <row r="172" spans="2:9" ht="16" outlineLevel="1">
      <c r="B172" s="26" t="s">
        <v>189</v>
      </c>
      <c r="C172" s="31" t="s">
        <v>190</v>
      </c>
      <c r="D172" s="31" t="s">
        <v>191</v>
      </c>
      <c r="E172" s="31" t="s">
        <v>89</v>
      </c>
      <c r="F172" s="31" t="s">
        <v>27</v>
      </c>
      <c r="G172" s="31" t="s">
        <v>27</v>
      </c>
      <c r="H172" s="32">
        <v>100.0</v>
      </c>
      <c r="I172" s="31"/>
    </row>
    <row r="173" spans="1:9" ht="16">
      <c r="A173" s="38" t="s">
        <v>192</v>
      </c>
      <c r="H173" s="33">
        <f>H171+H172</f>
        <v>100.0</v>
      </c>
      <c r="I173" s="33">
        <f>I171+I172</f>
        <v>100.0</v>
      </c>
    </row>
    <row r="174" spans="1:1" ht="16">
      <c r="A174" s="39" t="s">
        <v>193</v>
      </c>
    </row>
    <row r="175" spans="2:9" ht="16" outlineLevel="1">
      <c r="B175" s="26" t="s">
        <v>189</v>
      </c>
      <c r="C175" s="31" t="s">
        <v>42</v>
      </c>
      <c r="D175" s="31" t="s">
        <v>6</v>
      </c>
      <c r="E175" s="31" t="s">
        <v>89</v>
      </c>
      <c r="F175" s="31" t="s">
        <v>194</v>
      </c>
      <c r="G175" s="31" t="s">
        <v>6</v>
      </c>
      <c r="H175" s="32">
        <v>0</v>
      </c>
      <c r="I175" s="31"/>
    </row>
    <row r="176" spans="2:9" ht="16" outlineLevel="1">
      <c r="B176" s="26" t="s">
        <v>189</v>
      </c>
      <c r="C176" s="31" t="s">
        <v>42</v>
      </c>
      <c r="D176" s="31" t="s">
        <v>6</v>
      </c>
      <c r="E176" s="31" t="s">
        <v>89</v>
      </c>
      <c r="F176" s="31" t="s">
        <v>6</v>
      </c>
      <c r="G176" s="31" t="s">
        <v>24</v>
      </c>
      <c r="H176" s="32">
        <v>0</v>
      </c>
      <c r="I176" s="31"/>
    </row>
    <row r="177" spans="1:9" ht="16">
      <c r="A177" s="38" t="s">
        <v>195</v>
      </c>
      <c r="H177" s="33">
        <f>H175+H176</f>
        <v>0.0</v>
      </c>
      <c r="I177" s="33">
        <f>I175+I176</f>
        <v>0.0</v>
      </c>
    </row>
    <row r="178" spans="1:1" ht="16">
      <c r="A178" s="39" t="s">
        <v>196</v>
      </c>
    </row>
    <row r="179" spans="2:9" ht="16" outlineLevel="1">
      <c r="B179" s="26" t="s">
        <v>197</v>
      </c>
      <c r="C179" s="31" t="s">
        <v>198</v>
      </c>
      <c r="D179" s="31" t="s">
        <v>6</v>
      </c>
      <c r="E179" s="31" t="s">
        <v>6</v>
      </c>
      <c r="F179" s="31" t="s">
        <v>7</v>
      </c>
      <c r="G179" s="31" t="s">
        <v>199</v>
      </c>
      <c r="H179" s="32">
        <v>13495.0</v>
      </c>
      <c r="I179" s="31"/>
    </row>
    <row r="180" spans="2:9" ht="16" outlineLevel="1">
      <c r="B180" s="26" t="s">
        <v>197</v>
      </c>
      <c r="C180" s="31" t="s">
        <v>198</v>
      </c>
      <c r="D180" s="31" t="s">
        <v>6</v>
      </c>
      <c r="E180" s="31" t="s">
        <v>6</v>
      </c>
      <c r="F180" s="31" t="s">
        <v>7</v>
      </c>
      <c r="G180" s="31" t="s">
        <v>9</v>
      </c>
      <c r="H180" s="31"/>
      <c r="I180" s="32">
        <v>13495.0</v>
      </c>
    </row>
    <row r="181" spans="1:9" ht="16">
      <c r="A181" s="38" t="s">
        <v>200</v>
      </c>
      <c r="H181" s="33">
        <f>H179+H180</f>
        <v>13495.0</v>
      </c>
      <c r="I181" s="33">
        <f>I179+I180</f>
        <v>13495.0</v>
      </c>
    </row>
    <row r="182" spans="1:1" ht="16">
      <c r="A182" s="39" t="s">
        <v>201</v>
      </c>
    </row>
    <row r="183" spans="2:9" ht="16" outlineLevel="1">
      <c r="B183" s="26" t="s">
        <v>197</v>
      </c>
      <c r="C183" s="31" t="s">
        <v>13</v>
      </c>
      <c r="D183" s="31" t="s">
        <v>6</v>
      </c>
      <c r="E183" s="31" t="s">
        <v>108</v>
      </c>
      <c r="F183" s="31" t="s">
        <v>6</v>
      </c>
      <c r="G183" s="31" t="s">
        <v>16</v>
      </c>
      <c r="H183" s="31"/>
      <c r="I183" s="32">
        <v>74.36</v>
      </c>
    </row>
    <row r="184" spans="2:9" ht="16" outlineLevel="1">
      <c r="B184" s="26" t="s">
        <v>197</v>
      </c>
      <c r="C184" s="31" t="s">
        <v>13</v>
      </c>
      <c r="D184" s="31" t="s">
        <v>6</v>
      </c>
      <c r="E184" s="31" t="s">
        <v>108</v>
      </c>
      <c r="F184" s="31" t="s">
        <v>202</v>
      </c>
      <c r="G184" s="31" t="s">
        <v>109</v>
      </c>
      <c r="H184" s="32">
        <v>74.36</v>
      </c>
      <c r="I184" s="31"/>
    </row>
    <row r="185" spans="1:9" ht="16">
      <c r="A185" s="38" t="s">
        <v>203</v>
      </c>
      <c r="H185" s="33">
        <f>H183+H184</f>
        <v>74.36</v>
      </c>
      <c r="I185" s="33">
        <f>I183+I184</f>
        <v>74.36</v>
      </c>
    </row>
    <row r="186" spans="1:1" ht="16">
      <c r="A186" s="39" t="s">
        <v>204</v>
      </c>
    </row>
    <row r="187" spans="2:9" ht="16" outlineLevel="1">
      <c r="B187" s="26" t="s">
        <v>197</v>
      </c>
      <c r="C187" s="31" t="s">
        <v>13</v>
      </c>
      <c r="D187" s="31" t="s">
        <v>6</v>
      </c>
      <c r="E187" s="31" t="s">
        <v>205</v>
      </c>
      <c r="F187" s="31" t="s">
        <v>6</v>
      </c>
      <c r="G187" s="31" t="s">
        <v>16</v>
      </c>
      <c r="H187" s="31"/>
      <c r="I187" s="32">
        <v>900.0</v>
      </c>
    </row>
    <row r="188" spans="2:9" ht="16" outlineLevel="1">
      <c r="B188" s="26" t="s">
        <v>197</v>
      </c>
      <c r="C188" s="31" t="s">
        <v>13</v>
      </c>
      <c r="D188" s="31" t="s">
        <v>6</v>
      </c>
      <c r="E188" s="31" t="s">
        <v>205</v>
      </c>
      <c r="F188" s="31" t="s">
        <v>206</v>
      </c>
      <c r="G188" s="31" t="s">
        <v>207</v>
      </c>
      <c r="H188" s="32">
        <v>900.0</v>
      </c>
      <c r="I188" s="31"/>
    </row>
    <row r="189" spans="1:9" ht="16">
      <c r="A189" s="38" t="s">
        <v>208</v>
      </c>
      <c r="H189" s="33">
        <f>H187+H188</f>
        <v>900.0</v>
      </c>
      <c r="I189" s="33">
        <f>I187+I188</f>
        <v>900.0</v>
      </c>
    </row>
    <row r="190" spans="1:1" ht="16">
      <c r="A190" s="39" t="s">
        <v>209</v>
      </c>
    </row>
    <row r="191" spans="2:9" ht="16" outlineLevel="1">
      <c r="B191" s="26" t="s">
        <v>197</v>
      </c>
      <c r="C191" s="31" t="s">
        <v>13</v>
      </c>
      <c r="D191" s="31" t="s">
        <v>6</v>
      </c>
      <c r="E191" s="31" t="s">
        <v>113</v>
      </c>
      <c r="F191" s="31" t="s">
        <v>6</v>
      </c>
      <c r="G191" s="31" t="s">
        <v>16</v>
      </c>
      <c r="H191" s="31"/>
      <c r="I191" s="32">
        <v>114.09</v>
      </c>
    </row>
    <row r="192" spans="2:9" ht="16" outlineLevel="1">
      <c r="B192" s="26" t="s">
        <v>197</v>
      </c>
      <c r="C192" s="31" t="s">
        <v>13</v>
      </c>
      <c r="D192" s="31" t="s">
        <v>6</v>
      </c>
      <c r="E192" s="31" t="s">
        <v>113</v>
      </c>
      <c r="F192" s="31" t="s">
        <v>6</v>
      </c>
      <c r="G192" s="31" t="s">
        <v>114</v>
      </c>
      <c r="H192" s="32">
        <v>114.09</v>
      </c>
      <c r="I192" s="31"/>
    </row>
    <row r="193" spans="1:9" ht="16">
      <c r="A193" s="38" t="s">
        <v>210</v>
      </c>
      <c r="H193" s="33">
        <f>H191+H192</f>
        <v>114.09</v>
      </c>
      <c r="I193" s="33">
        <f>I191+I192</f>
        <v>114.09</v>
      </c>
    </row>
    <row r="194" spans="1:1" ht="16">
      <c r="A194" s="39" t="s">
        <v>211</v>
      </c>
    </row>
    <row r="195" spans="2:9" ht="16" outlineLevel="1">
      <c r="B195" s="26" t="s">
        <v>197</v>
      </c>
      <c r="C195" s="31" t="s">
        <v>21</v>
      </c>
      <c r="D195" s="31" t="s">
        <v>212</v>
      </c>
      <c r="E195" s="31" t="s">
        <v>213</v>
      </c>
      <c r="F195" s="31" t="s">
        <v>6</v>
      </c>
      <c r="G195" s="31" t="s">
        <v>24</v>
      </c>
      <c r="H195" s="32">
        <v>80.0</v>
      </c>
      <c r="I195" s="31"/>
    </row>
    <row r="196" spans="2:9" ht="16" outlineLevel="1">
      <c r="B196" s="26" t="s">
        <v>197</v>
      </c>
      <c r="C196" s="31" t="s">
        <v>21</v>
      </c>
      <c r="D196" s="31" t="s">
        <v>212</v>
      </c>
      <c r="E196" s="31" t="s">
        <v>213</v>
      </c>
      <c r="F196" s="31" t="s">
        <v>25</v>
      </c>
      <c r="G196" s="31" t="s">
        <v>26</v>
      </c>
      <c r="H196" s="31"/>
      <c r="I196" s="32">
        <v>80.0</v>
      </c>
    </row>
    <row r="197" spans="1:9" ht="16">
      <c r="A197" s="38" t="s">
        <v>214</v>
      </c>
      <c r="H197" s="33">
        <f>H195+H196</f>
        <v>80.0</v>
      </c>
      <c r="I197" s="33">
        <f>I195+I196</f>
        <v>80.0</v>
      </c>
    </row>
    <row r="198" spans="1:1" ht="16">
      <c r="A198" s="39" t="s">
        <v>70</v>
      </c>
    </row>
    <row r="199" spans="2:9" ht="16" outlineLevel="1">
      <c r="B199" s="26" t="s">
        <v>215</v>
      </c>
      <c r="C199" s="31" t="s">
        <v>13</v>
      </c>
      <c r="D199" s="31" t="s">
        <v>6</v>
      </c>
      <c r="E199" s="31" t="s">
        <v>216</v>
      </c>
      <c r="F199" s="31" t="s">
        <v>7</v>
      </c>
      <c r="G199" s="31" t="s">
        <v>16</v>
      </c>
      <c r="H199" s="31"/>
      <c r="I199" s="32">
        <v>666.0</v>
      </c>
    </row>
    <row r="200" spans="2:9" ht="16" outlineLevel="1">
      <c r="B200" s="26" t="s">
        <v>215</v>
      </c>
      <c r="C200" s="31" t="s">
        <v>13</v>
      </c>
      <c r="D200" s="31" t="s">
        <v>6</v>
      </c>
      <c r="E200" s="31" t="s">
        <v>216</v>
      </c>
      <c r="F200" s="31" t="s">
        <v>6</v>
      </c>
      <c r="G200" s="31" t="s">
        <v>139</v>
      </c>
      <c r="H200" s="32">
        <v>666.0</v>
      </c>
      <c r="I200" s="31"/>
    </row>
    <row r="201" spans="1:9" ht="16">
      <c r="A201" s="38" t="s">
        <v>217</v>
      </c>
      <c r="H201" s="33">
        <f>H199+H200</f>
        <v>666.0</v>
      </c>
      <c r="I201" s="33">
        <f>I199+I200</f>
        <v>666.0</v>
      </c>
    </row>
    <row r="202" spans="1:1" ht="16">
      <c r="A202" s="39" t="s">
        <v>218</v>
      </c>
    </row>
    <row r="203" spans="2:9" ht="16" outlineLevel="1">
      <c r="B203" s="26" t="s">
        <v>215</v>
      </c>
      <c r="C203" s="31" t="s">
        <v>56</v>
      </c>
      <c r="D203" s="31" t="s">
        <v>219</v>
      </c>
      <c r="E203" s="31" t="s">
        <v>78</v>
      </c>
      <c r="F203" s="31" t="s">
        <v>6</v>
      </c>
      <c r="G203" s="31" t="s">
        <v>72</v>
      </c>
      <c r="H203" s="31"/>
      <c r="I203" s="32">
        <v>65.0</v>
      </c>
    </row>
    <row r="204" spans="2:9" ht="16" outlineLevel="1">
      <c r="B204" s="26" t="s">
        <v>215</v>
      </c>
      <c r="C204" s="31" t="s">
        <v>56</v>
      </c>
      <c r="D204" s="31" t="s">
        <v>219</v>
      </c>
      <c r="E204" s="31" t="s">
        <v>78</v>
      </c>
      <c r="F204" s="31" t="s">
        <v>6</v>
      </c>
      <c r="G204" s="31" t="s">
        <v>79</v>
      </c>
      <c r="H204" s="32">
        <v>65.0</v>
      </c>
      <c r="I204" s="31"/>
    </row>
    <row r="205" spans="1:9" ht="16">
      <c r="A205" s="38" t="s">
        <v>220</v>
      </c>
      <c r="H205" s="33">
        <f>H203+H204</f>
        <v>65.0</v>
      </c>
      <c r="I205" s="33">
        <f>I203+I204</f>
        <v>65.0</v>
      </c>
    </row>
    <row r="206" spans="1:1" ht="16">
      <c r="A206" s="39" t="s">
        <v>221</v>
      </c>
    </row>
    <row r="207" spans="2:9" ht="16" outlineLevel="1">
      <c r="B207" s="26" t="s">
        <v>222</v>
      </c>
      <c r="C207" s="31" t="s">
        <v>13</v>
      </c>
      <c r="D207" s="31" t="s">
        <v>6</v>
      </c>
      <c r="E207" s="31" t="s">
        <v>129</v>
      </c>
      <c r="F207" s="31" t="s">
        <v>6</v>
      </c>
      <c r="G207" s="31" t="s">
        <v>16</v>
      </c>
      <c r="H207" s="31"/>
      <c r="I207" s="32">
        <v>75.0</v>
      </c>
    </row>
    <row r="208" spans="2:9" ht="16" outlineLevel="1">
      <c r="B208" s="26" t="s">
        <v>222</v>
      </c>
      <c r="C208" s="31" t="s">
        <v>13</v>
      </c>
      <c r="D208" s="31" t="s">
        <v>6</v>
      </c>
      <c r="E208" s="31" t="s">
        <v>129</v>
      </c>
      <c r="F208" s="31" t="s">
        <v>6</v>
      </c>
      <c r="G208" s="31" t="s">
        <v>58</v>
      </c>
      <c r="H208" s="32">
        <v>75.0</v>
      </c>
      <c r="I208" s="31"/>
    </row>
    <row r="209" spans="1:9" ht="16">
      <c r="A209" s="38" t="s">
        <v>223</v>
      </c>
      <c r="H209" s="33">
        <f>H207+H208</f>
        <v>75.0</v>
      </c>
      <c r="I209" s="33">
        <f>I207+I208</f>
        <v>75.0</v>
      </c>
    </row>
    <row r="210" spans="1:1" ht="16">
      <c r="A210" s="39" t="s">
        <v>224</v>
      </c>
    </row>
    <row r="211" spans="2:9" ht="16" outlineLevel="1">
      <c r="B211" s="26" t="s">
        <v>222</v>
      </c>
      <c r="C211" s="31" t="s">
        <v>21</v>
      </c>
      <c r="D211" s="31" t="s">
        <v>225</v>
      </c>
      <c r="E211" s="31" t="s">
        <v>226</v>
      </c>
      <c r="F211" s="31" t="s">
        <v>6</v>
      </c>
      <c r="G211" s="31" t="s">
        <v>24</v>
      </c>
      <c r="H211" s="32">
        <v>274.5</v>
      </c>
      <c r="I211" s="31"/>
    </row>
    <row r="212" spans="2:9" ht="16" outlineLevel="1">
      <c r="B212" s="26" t="s">
        <v>222</v>
      </c>
      <c r="C212" s="31" t="s">
        <v>21</v>
      </c>
      <c r="D212" s="31" t="s">
        <v>225</v>
      </c>
      <c r="E212" s="31" t="s">
        <v>226</v>
      </c>
      <c r="F212" s="31" t="s">
        <v>227</v>
      </c>
      <c r="G212" s="31" t="s">
        <v>65</v>
      </c>
      <c r="H212" s="31"/>
      <c r="I212" s="32">
        <v>30.0</v>
      </c>
    </row>
    <row r="213" spans="2:9" ht="16" outlineLevel="1">
      <c r="B213" s="26" t="s">
        <v>222</v>
      </c>
      <c r="C213" s="31" t="s">
        <v>21</v>
      </c>
      <c r="D213" s="31" t="s">
        <v>225</v>
      </c>
      <c r="E213" s="31" t="s">
        <v>226</v>
      </c>
      <c r="F213" s="31" t="s">
        <v>51</v>
      </c>
      <c r="G213" s="31" t="s">
        <v>52</v>
      </c>
      <c r="H213" s="31"/>
      <c r="I213" s="32">
        <v>275.0</v>
      </c>
    </row>
    <row r="214" spans="2:9" ht="16" outlineLevel="1">
      <c r="B214" s="26" t="s">
        <v>222</v>
      </c>
      <c r="C214" s="31" t="s">
        <v>21</v>
      </c>
      <c r="D214" s="31" t="s">
        <v>225</v>
      </c>
      <c r="E214" s="31" t="s">
        <v>226</v>
      </c>
      <c r="F214" s="31" t="s">
        <v>228</v>
      </c>
      <c r="G214" s="31" t="s">
        <v>229</v>
      </c>
      <c r="H214" s="32">
        <v>30.5</v>
      </c>
      <c r="I214" s="31"/>
    </row>
    <row r="215" spans="1:9" ht="16">
      <c r="A215" s="38" t="s">
        <v>230</v>
      </c>
      <c r="H215" s="33">
        <f>H211+H212+H213+H214</f>
        <v>305.0</v>
      </c>
      <c r="I215" s="33">
        <f>I211+I212+I213+I214</f>
        <v>305.0</v>
      </c>
    </row>
    <row r="216" spans="1:1" ht="16">
      <c r="A216" s="39" t="s">
        <v>57</v>
      </c>
    </row>
    <row r="217" spans="2:9" ht="16" outlineLevel="1">
      <c r="B217" s="26" t="s">
        <v>231</v>
      </c>
      <c r="C217" s="31" t="s">
        <v>21</v>
      </c>
      <c r="D217" s="31" t="s">
        <v>232</v>
      </c>
      <c r="E217" s="31" t="s">
        <v>233</v>
      </c>
      <c r="F217" s="31" t="s">
        <v>6</v>
      </c>
      <c r="G217" s="31" t="s">
        <v>24</v>
      </c>
      <c r="H217" s="32">
        <v>2369.52</v>
      </c>
      <c r="I217" s="31"/>
    </row>
    <row r="218" spans="2:9" ht="16" outlineLevel="1">
      <c r="B218" s="26" t="s">
        <v>231</v>
      </c>
      <c r="C218" s="31" t="s">
        <v>21</v>
      </c>
      <c r="D218" s="31" t="s">
        <v>232</v>
      </c>
      <c r="E218" s="31" t="s">
        <v>233</v>
      </c>
      <c r="F218" s="31" t="s">
        <v>227</v>
      </c>
      <c r="G218" s="31" t="s">
        <v>234</v>
      </c>
      <c r="H218" s="31"/>
      <c r="I218" s="32">
        <v>20.0</v>
      </c>
    </row>
    <row r="219" spans="2:9" ht="16" outlineLevel="1">
      <c r="B219" s="26" t="s">
        <v>231</v>
      </c>
      <c r="C219" s="31" t="s">
        <v>21</v>
      </c>
      <c r="D219" s="31" t="s">
        <v>232</v>
      </c>
      <c r="E219" s="31" t="s">
        <v>233</v>
      </c>
      <c r="F219" s="31" t="s">
        <v>64</v>
      </c>
      <c r="G219" s="31" t="s">
        <v>234</v>
      </c>
      <c r="H219" s="31"/>
      <c r="I219" s="32">
        <v>24.0</v>
      </c>
    </row>
    <row r="220" spans="2:9" ht="16" outlineLevel="1">
      <c r="B220" s="26" t="s">
        <v>231</v>
      </c>
      <c r="C220" s="31" t="s">
        <v>21</v>
      </c>
      <c r="D220" s="31" t="s">
        <v>232</v>
      </c>
      <c r="E220" s="31" t="s">
        <v>233</v>
      </c>
      <c r="F220" s="31" t="s">
        <v>32</v>
      </c>
      <c r="G220" s="31" t="s">
        <v>33</v>
      </c>
      <c r="H220" s="31"/>
      <c r="I220" s="32">
        <v>1750.0</v>
      </c>
    </row>
    <row r="221" spans="2:9" ht="16" outlineLevel="1">
      <c r="B221" s="26" t="s">
        <v>231</v>
      </c>
      <c r="C221" s="31" t="s">
        <v>21</v>
      </c>
      <c r="D221" s="31" t="s">
        <v>232</v>
      </c>
      <c r="E221" s="31" t="s">
        <v>233</v>
      </c>
      <c r="F221" s="31" t="s">
        <v>235</v>
      </c>
      <c r="G221" s="31" t="s">
        <v>236</v>
      </c>
      <c r="H221" s="31"/>
      <c r="I221" s="32">
        <v>400.0</v>
      </c>
    </row>
    <row r="222" spans="2:9" ht="16" outlineLevel="1">
      <c r="B222" s="26" t="s">
        <v>231</v>
      </c>
      <c r="C222" s="31" t="s">
        <v>21</v>
      </c>
      <c r="D222" s="31" t="s">
        <v>232</v>
      </c>
      <c r="E222" s="31" t="s">
        <v>233</v>
      </c>
      <c r="F222" s="31" t="s">
        <v>6</v>
      </c>
      <c r="G222" s="31" t="s">
        <v>34</v>
      </c>
      <c r="H222" s="31"/>
      <c r="I222" s="32">
        <v>175.52</v>
      </c>
    </row>
    <row r="223" spans="1:9" ht="16">
      <c r="A223" s="38" t="s">
        <v>237</v>
      </c>
      <c r="H223" s="33">
        <f>H217+H218+H219+H220+H221+H222</f>
        <v>2369.52</v>
      </c>
      <c r="I223" s="33">
        <f>I217+I218+I219+I220+I221+I222</f>
        <v>2369.52</v>
      </c>
    </row>
    <row r="224" spans="1:1" ht="16">
      <c r="A224" s="39" t="s">
        <v>238</v>
      </c>
    </row>
    <row r="225" spans="2:9" ht="16" outlineLevel="1">
      <c r="B225" s="26" t="s">
        <v>231</v>
      </c>
      <c r="C225" s="31" t="s">
        <v>21</v>
      </c>
      <c r="D225" s="31" t="s">
        <v>239</v>
      </c>
      <c r="E225" s="31" t="s">
        <v>240</v>
      </c>
      <c r="F225" s="31" t="s">
        <v>6</v>
      </c>
      <c r="G225" s="31" t="s">
        <v>24</v>
      </c>
      <c r="H225" s="32">
        <v>81.0</v>
      </c>
      <c r="I225" s="31"/>
    </row>
    <row r="226" spans="2:9" ht="16" outlineLevel="1">
      <c r="B226" s="26" t="s">
        <v>231</v>
      </c>
      <c r="C226" s="31" t="s">
        <v>21</v>
      </c>
      <c r="D226" s="31" t="s">
        <v>239</v>
      </c>
      <c r="E226" s="31" t="s">
        <v>240</v>
      </c>
      <c r="F226" s="31" t="s">
        <v>25</v>
      </c>
      <c r="G226" s="31" t="s">
        <v>26</v>
      </c>
      <c r="H226" s="31"/>
      <c r="I226" s="32">
        <v>75.0</v>
      </c>
    </row>
    <row r="227" spans="2:9" ht="16" outlineLevel="1">
      <c r="B227" s="26" t="s">
        <v>231</v>
      </c>
      <c r="C227" s="31" t="s">
        <v>21</v>
      </c>
      <c r="D227" s="31" t="s">
        <v>239</v>
      </c>
      <c r="E227" s="31" t="s">
        <v>240</v>
      </c>
      <c r="F227" s="31" t="s">
        <v>6</v>
      </c>
      <c r="G227" s="31" t="s">
        <v>34</v>
      </c>
      <c r="H227" s="31"/>
      <c r="I227" s="32">
        <v>6.0</v>
      </c>
    </row>
    <row r="228" spans="1:9" ht="16">
      <c r="A228" s="38" t="s">
        <v>241</v>
      </c>
      <c r="H228" s="33">
        <f>H225+H226+H227</f>
        <v>81.0</v>
      </c>
      <c r="I228" s="33">
        <f>I225+I226+I227</f>
        <v>81.0</v>
      </c>
    </row>
    <row r="229" spans="1:1" ht="16">
      <c r="A229" s="39" t="s">
        <v>242</v>
      </c>
    </row>
    <row r="230" spans="2:9" ht="16" outlineLevel="1">
      <c r="B230" s="26" t="s">
        <v>231</v>
      </c>
      <c r="C230" s="31" t="s">
        <v>56</v>
      </c>
      <c r="D230" s="31" t="s">
        <v>219</v>
      </c>
      <c r="E230" s="31" t="s">
        <v>138</v>
      </c>
      <c r="F230" s="31" t="s">
        <v>6</v>
      </c>
      <c r="G230" s="31" t="s">
        <v>72</v>
      </c>
      <c r="H230" s="31"/>
      <c r="I230" s="32">
        <v>88.09</v>
      </c>
    </row>
    <row r="231" spans="2:9" ht="16" outlineLevel="1">
      <c r="B231" s="26" t="s">
        <v>231</v>
      </c>
      <c r="C231" s="31" t="s">
        <v>56</v>
      </c>
      <c r="D231" s="31" t="s">
        <v>219</v>
      </c>
      <c r="E231" s="31" t="s">
        <v>138</v>
      </c>
      <c r="F231" s="31" t="s">
        <v>6</v>
      </c>
      <c r="G231" s="31" t="s">
        <v>243</v>
      </c>
      <c r="H231" s="32">
        <v>88.09</v>
      </c>
      <c r="I231" s="31"/>
    </row>
    <row r="232" spans="1:9" ht="16">
      <c r="A232" s="38" t="s">
        <v>244</v>
      </c>
      <c r="H232" s="33">
        <f>H230+H231</f>
        <v>88.09</v>
      </c>
      <c r="I232" s="33">
        <f>I230+I231</f>
        <v>88.09</v>
      </c>
    </row>
    <row r="233" spans="1:1" ht="16">
      <c r="A233" s="39" t="s">
        <v>245</v>
      </c>
    </row>
    <row r="234" spans="2:9" ht="16" outlineLevel="1">
      <c r="B234" s="26" t="s">
        <v>246</v>
      </c>
      <c r="C234" s="31" t="s">
        <v>56</v>
      </c>
      <c r="D234" s="31" t="s">
        <v>247</v>
      </c>
      <c r="E234" s="31" t="s">
        <v>71</v>
      </c>
      <c r="F234" s="31" t="s">
        <v>6</v>
      </c>
      <c r="G234" s="31" t="s">
        <v>72</v>
      </c>
      <c r="H234" s="31"/>
      <c r="I234" s="32">
        <v>54.92</v>
      </c>
    </row>
    <row r="235" spans="2:9" ht="16" outlineLevel="1">
      <c r="B235" s="26" t="s">
        <v>246</v>
      </c>
      <c r="C235" s="31" t="s">
        <v>56</v>
      </c>
      <c r="D235" s="31" t="s">
        <v>247</v>
      </c>
      <c r="E235" s="31" t="s">
        <v>71</v>
      </c>
      <c r="F235" s="31" t="s">
        <v>6</v>
      </c>
      <c r="G235" s="31" t="s">
        <v>33</v>
      </c>
      <c r="H235" s="32">
        <v>54.92</v>
      </c>
      <c r="I235" s="31"/>
    </row>
    <row r="236" spans="1:9" ht="16">
      <c r="A236" s="38" t="s">
        <v>248</v>
      </c>
      <c r="H236" s="33">
        <f>H234+H235</f>
        <v>54.92</v>
      </c>
      <c r="I236" s="33">
        <f>I234+I235</f>
        <v>54.92</v>
      </c>
    </row>
    <row r="237" spans="1:1" ht="16">
      <c r="A237" s="39" t="s">
        <v>249</v>
      </c>
    </row>
    <row r="238" spans="2:9" ht="16" outlineLevel="1">
      <c r="B238" s="26" t="s">
        <v>250</v>
      </c>
      <c r="C238" s="31" t="s">
        <v>21</v>
      </c>
      <c r="D238" s="31" t="s">
        <v>251</v>
      </c>
      <c r="E238" s="31" t="s">
        <v>98</v>
      </c>
      <c r="F238" s="31" t="s">
        <v>6</v>
      </c>
      <c r="G238" s="31" t="s">
        <v>24</v>
      </c>
      <c r="H238" s="32">
        <v>54.0</v>
      </c>
      <c r="I238" s="31"/>
    </row>
    <row r="239" spans="2:9" ht="16" outlineLevel="1">
      <c r="B239" s="26" t="s">
        <v>250</v>
      </c>
      <c r="C239" s="31" t="s">
        <v>21</v>
      </c>
      <c r="D239" s="31" t="s">
        <v>251</v>
      </c>
      <c r="E239" s="31" t="s">
        <v>98</v>
      </c>
      <c r="F239" s="31" t="s">
        <v>25</v>
      </c>
      <c r="G239" s="31" t="s">
        <v>26</v>
      </c>
      <c r="H239" s="31"/>
      <c r="I239" s="32">
        <v>50.0</v>
      </c>
    </row>
    <row r="240" spans="2:9" ht="16" outlineLevel="1">
      <c r="B240" s="26" t="s">
        <v>250</v>
      </c>
      <c r="C240" s="31" t="s">
        <v>21</v>
      </c>
      <c r="D240" s="31" t="s">
        <v>251</v>
      </c>
      <c r="E240" s="31" t="s">
        <v>98</v>
      </c>
      <c r="F240" s="31" t="s">
        <v>6</v>
      </c>
      <c r="G240" s="31" t="s">
        <v>34</v>
      </c>
      <c r="H240" s="31"/>
      <c r="I240" s="32">
        <v>4.0</v>
      </c>
    </row>
    <row r="241" spans="1:9" ht="16">
      <c r="A241" s="38" t="s">
        <v>252</v>
      </c>
      <c r="H241" s="33">
        <f>H238+H239+H240</f>
        <v>54.0</v>
      </c>
      <c r="I241" s="33">
        <f>I238+I239+I240</f>
        <v>54.0</v>
      </c>
    </row>
    <row r="242" spans="1:1" ht="16">
      <c r="A242" s="39" t="s">
        <v>253</v>
      </c>
    </row>
    <row r="243" spans="2:9" ht="16" outlineLevel="1">
      <c r="B243" s="26" t="s">
        <v>250</v>
      </c>
      <c r="C243" s="31" t="s">
        <v>21</v>
      </c>
      <c r="D243" s="31" t="s">
        <v>254</v>
      </c>
      <c r="E243" s="31" t="s">
        <v>213</v>
      </c>
      <c r="F243" s="31" t="s">
        <v>6</v>
      </c>
      <c r="G243" s="31" t="s">
        <v>24</v>
      </c>
      <c r="H243" s="32">
        <v>80.0</v>
      </c>
      <c r="I243" s="31"/>
    </row>
    <row r="244" spans="2:9" ht="16" outlineLevel="1">
      <c r="B244" s="26" t="s">
        <v>250</v>
      </c>
      <c r="C244" s="31" t="s">
        <v>21</v>
      </c>
      <c r="D244" s="31" t="s">
        <v>254</v>
      </c>
      <c r="E244" s="31" t="s">
        <v>213</v>
      </c>
      <c r="F244" s="31" t="s">
        <v>25</v>
      </c>
      <c r="G244" s="31" t="s">
        <v>26</v>
      </c>
      <c r="H244" s="31"/>
      <c r="I244" s="32">
        <v>80.0</v>
      </c>
    </row>
    <row r="245" spans="1:9" ht="16">
      <c r="A245" s="38" t="s">
        <v>255</v>
      </c>
      <c r="H245" s="33">
        <f>H243+H244</f>
        <v>80.0</v>
      </c>
      <c r="I245" s="33">
        <f>I243+I244</f>
        <v>80.0</v>
      </c>
    </row>
    <row r="246" spans="1:1" ht="16">
      <c r="A246" s="39" t="s">
        <v>256</v>
      </c>
    </row>
    <row r="247" spans="2:9" ht="16" outlineLevel="1">
      <c r="B247" s="26" t="s">
        <v>250</v>
      </c>
      <c r="C247" s="31" t="s">
        <v>77</v>
      </c>
      <c r="D247" s="31" t="s">
        <v>6</v>
      </c>
      <c r="E247" s="31" t="s">
        <v>257</v>
      </c>
      <c r="F247" s="31" t="s">
        <v>6</v>
      </c>
      <c r="G247" s="31" t="s">
        <v>8</v>
      </c>
      <c r="H247" s="31"/>
      <c r="I247" s="32">
        <v>100.0</v>
      </c>
    </row>
    <row r="248" spans="2:9" ht="16" outlineLevel="1">
      <c r="B248" s="26" t="s">
        <v>250</v>
      </c>
      <c r="C248" s="31" t="s">
        <v>77</v>
      </c>
      <c r="D248" s="31" t="s">
        <v>6</v>
      </c>
      <c r="E248" s="31" t="s">
        <v>257</v>
      </c>
      <c r="F248" s="31" t="s">
        <v>258</v>
      </c>
      <c r="G248" s="31" t="s">
        <v>17</v>
      </c>
      <c r="H248" s="32">
        <v>100.0</v>
      </c>
      <c r="I248" s="31"/>
    </row>
    <row r="249" spans="1:9" ht="16">
      <c r="A249" s="38" t="s">
        <v>259</v>
      </c>
      <c r="H249" s="33">
        <f>H247+H248</f>
        <v>100.0</v>
      </c>
      <c r="I249" s="33">
        <f>I247+I248</f>
        <v>100.0</v>
      </c>
    </row>
    <row r="250" spans="1:1" ht="16">
      <c r="A250" s="39" t="s">
        <v>260</v>
      </c>
    </row>
    <row r="251" spans="2:9" ht="16" outlineLevel="1">
      <c r="B251" s="26" t="s">
        <v>250</v>
      </c>
      <c r="C251" s="31" t="s">
        <v>261</v>
      </c>
      <c r="D251" s="31" t="s">
        <v>6</v>
      </c>
      <c r="E251" s="31" t="s">
        <v>262</v>
      </c>
      <c r="F251" s="31" t="s">
        <v>6</v>
      </c>
      <c r="G251" s="31" t="s">
        <v>8</v>
      </c>
      <c r="H251" s="31"/>
      <c r="I251" s="32">
        <v>5.66</v>
      </c>
    </row>
    <row r="252" spans="2:9" ht="16" outlineLevel="1">
      <c r="B252" s="26" t="s">
        <v>250</v>
      </c>
      <c r="C252" s="31" t="s">
        <v>261</v>
      </c>
      <c r="D252" s="31" t="s">
        <v>6</v>
      </c>
      <c r="E252" s="31" t="s">
        <v>262</v>
      </c>
      <c r="F252" s="31" t="s">
        <v>6</v>
      </c>
      <c r="G252" s="31" t="s">
        <v>263</v>
      </c>
      <c r="H252" s="32">
        <v>5.66</v>
      </c>
      <c r="I252" s="31"/>
    </row>
    <row r="253" spans="1:9" ht="16">
      <c r="A253" s="38" t="s">
        <v>264</v>
      </c>
      <c r="H253" s="33">
        <f>H251+H252</f>
        <v>5.66</v>
      </c>
      <c r="I253" s="33">
        <f>I251+I252</f>
        <v>5.66</v>
      </c>
    </row>
    <row r="254" spans="1:1" ht="16">
      <c r="A254" s="39" t="s">
        <v>265</v>
      </c>
    </row>
    <row r="255" spans="2:9" ht="16" outlineLevel="1">
      <c r="B255" s="26" t="s">
        <v>250</v>
      </c>
      <c r="C255" s="31" t="s">
        <v>261</v>
      </c>
      <c r="D255" s="31" t="s">
        <v>6</v>
      </c>
      <c r="E255" s="31" t="s">
        <v>266</v>
      </c>
      <c r="F255" s="31" t="s">
        <v>6</v>
      </c>
      <c r="G255" s="31" t="s">
        <v>8</v>
      </c>
      <c r="H255" s="31"/>
      <c r="I255" s="32">
        <v>19.99</v>
      </c>
    </row>
    <row r="256" spans="2:9" ht="16" outlineLevel="1">
      <c r="B256" s="26" t="s">
        <v>250</v>
      </c>
      <c r="C256" s="31" t="s">
        <v>261</v>
      </c>
      <c r="D256" s="31" t="s">
        <v>6</v>
      </c>
      <c r="E256" s="31" t="s">
        <v>266</v>
      </c>
      <c r="F256" s="31" t="s">
        <v>6</v>
      </c>
      <c r="G256" s="31" t="s">
        <v>267</v>
      </c>
      <c r="H256" s="32">
        <v>19.99</v>
      </c>
      <c r="I256" s="31"/>
    </row>
    <row r="257" spans="1:9" ht="16">
      <c r="A257" s="38" t="s">
        <v>268</v>
      </c>
      <c r="H257" s="33">
        <f>H255+H256</f>
        <v>19.99</v>
      </c>
      <c r="I257" s="33">
        <f>I255+I256</f>
        <v>19.99</v>
      </c>
    </row>
    <row r="258" spans="1:1" ht="16">
      <c r="A258" s="39" t="s">
        <v>269</v>
      </c>
    </row>
    <row r="259" spans="2:9" ht="16" outlineLevel="1">
      <c r="B259" s="26" t="s">
        <v>270</v>
      </c>
      <c r="C259" s="31" t="s">
        <v>261</v>
      </c>
      <c r="D259" s="31" t="s">
        <v>6</v>
      </c>
      <c r="E259" s="31" t="s">
        <v>78</v>
      </c>
      <c r="F259" s="31" t="s">
        <v>6</v>
      </c>
      <c r="G259" s="31" t="s">
        <v>8</v>
      </c>
      <c r="H259" s="31"/>
      <c r="I259" s="32">
        <v>52.14</v>
      </c>
    </row>
    <row r="260" spans="2:9" ht="16" outlineLevel="1">
      <c r="B260" s="26" t="s">
        <v>270</v>
      </c>
      <c r="C260" s="31" t="s">
        <v>261</v>
      </c>
      <c r="D260" s="31" t="s">
        <v>6</v>
      </c>
      <c r="E260" s="31" t="s">
        <v>78</v>
      </c>
      <c r="F260" s="31" t="s">
        <v>6</v>
      </c>
      <c r="G260" s="31" t="s">
        <v>79</v>
      </c>
      <c r="H260" s="32">
        <v>52.14</v>
      </c>
      <c r="I260" s="31"/>
    </row>
    <row r="261" spans="1:9" ht="16">
      <c r="A261" s="38" t="s">
        <v>271</v>
      </c>
      <c r="H261" s="33">
        <f>H259+H260</f>
        <v>52.14</v>
      </c>
      <c r="I261" s="33">
        <f>I259+I260</f>
        <v>52.14</v>
      </c>
    </row>
    <row r="262" spans="1:1" ht="16">
      <c r="A262" s="39" t="s">
        <v>272</v>
      </c>
    </row>
    <row r="263" spans="2:9" ht="16" outlineLevel="1">
      <c r="B263" s="26" t="s">
        <v>270</v>
      </c>
      <c r="C263" s="31" t="s">
        <v>77</v>
      </c>
      <c r="D263" s="31" t="s">
        <v>60</v>
      </c>
      <c r="E263" s="31" t="s">
        <v>78</v>
      </c>
      <c r="F263" s="31" t="s">
        <v>6</v>
      </c>
      <c r="G263" s="31" t="s">
        <v>8</v>
      </c>
      <c r="H263" s="31"/>
      <c r="I263" s="32">
        <v>185.0</v>
      </c>
    </row>
    <row r="264" spans="2:9" ht="16" outlineLevel="1">
      <c r="B264" s="26" t="s">
        <v>270</v>
      </c>
      <c r="C264" s="31" t="s">
        <v>77</v>
      </c>
      <c r="D264" s="31" t="s">
        <v>60</v>
      </c>
      <c r="E264" s="31" t="s">
        <v>78</v>
      </c>
      <c r="F264" s="31" t="s">
        <v>6</v>
      </c>
      <c r="G264" s="31" t="s">
        <v>273</v>
      </c>
      <c r="H264" s="32">
        <v>185.0</v>
      </c>
      <c r="I264" s="31"/>
    </row>
    <row r="265" spans="1:9" ht="16">
      <c r="A265" s="38" t="s">
        <v>274</v>
      </c>
      <c r="H265" s="33">
        <f>H263+H264</f>
        <v>185.0</v>
      </c>
      <c r="I265" s="33">
        <f>I263+I264</f>
        <v>185.0</v>
      </c>
    </row>
    <row r="266" spans="1:1" ht="16">
      <c r="A266" s="39" t="s">
        <v>219</v>
      </c>
    </row>
    <row r="267" spans="2:9" ht="16" outlineLevel="1">
      <c r="B267" s="26" t="s">
        <v>275</v>
      </c>
      <c r="C267" s="31" t="s">
        <v>13</v>
      </c>
      <c r="D267" s="31" t="s">
        <v>6</v>
      </c>
      <c r="E267" s="31" t="s">
        <v>276</v>
      </c>
      <c r="F267" s="31" t="s">
        <v>7</v>
      </c>
      <c r="G267" s="31" t="s">
        <v>16</v>
      </c>
      <c r="H267" s="31"/>
      <c r="I267" s="32">
        <v>2000.0</v>
      </c>
    </row>
    <row r="268" spans="2:9" ht="16" outlineLevel="1">
      <c r="B268" s="26" t="s">
        <v>275</v>
      </c>
      <c r="C268" s="31" t="s">
        <v>13</v>
      </c>
      <c r="D268" s="31" t="s">
        <v>6</v>
      </c>
      <c r="E268" s="31" t="s">
        <v>276</v>
      </c>
      <c r="F268" s="31" t="s">
        <v>6</v>
      </c>
      <c r="G268" s="31" t="s">
        <v>139</v>
      </c>
      <c r="H268" s="32">
        <v>2000.0</v>
      </c>
      <c r="I268" s="31"/>
    </row>
    <row r="269" spans="1:9" ht="16">
      <c r="A269" s="38" t="s">
        <v>277</v>
      </c>
      <c r="H269" s="33">
        <f>H267+H268</f>
        <v>2000.0</v>
      </c>
      <c r="I269" s="33">
        <f>I267+I268</f>
        <v>2000.0</v>
      </c>
    </row>
    <row r="270" spans="1:1" ht="16">
      <c r="A270" s="39" t="s">
        <v>278</v>
      </c>
    </row>
    <row r="271" spans="2:9" ht="16" outlineLevel="1">
      <c r="B271" s="26" t="s">
        <v>275</v>
      </c>
      <c r="C271" s="31" t="s">
        <v>13</v>
      </c>
      <c r="D271" s="31" t="s">
        <v>6</v>
      </c>
      <c r="E271" s="31" t="s">
        <v>276</v>
      </c>
      <c r="F271" s="31" t="s">
        <v>6</v>
      </c>
      <c r="G271" s="31" t="s">
        <v>16</v>
      </c>
      <c r="H271" s="31"/>
      <c r="I271" s="32">
        <v>241.23</v>
      </c>
    </row>
    <row r="272" spans="2:9" ht="16" outlineLevel="1">
      <c r="B272" s="26" t="s">
        <v>275</v>
      </c>
      <c r="C272" s="31" t="s">
        <v>13</v>
      </c>
      <c r="D272" s="31" t="s">
        <v>6</v>
      </c>
      <c r="E272" s="31" t="s">
        <v>276</v>
      </c>
      <c r="F272" s="31" t="s">
        <v>6</v>
      </c>
      <c r="G272" s="31" t="s">
        <v>279</v>
      </c>
      <c r="H272" s="32">
        <v>241.23</v>
      </c>
      <c r="I272" s="31"/>
    </row>
    <row r="273" spans="1:9" ht="16">
      <c r="A273" s="38" t="s">
        <v>280</v>
      </c>
      <c r="H273" s="33">
        <f>H271+H272</f>
        <v>241.23</v>
      </c>
      <c r="I273" s="33">
        <f>I271+I272</f>
        <v>241.23</v>
      </c>
    </row>
    <row r="274" spans="1:1" ht="16">
      <c r="A274" s="39" t="s">
        <v>281</v>
      </c>
    </row>
    <row r="275" spans="2:9" ht="16" outlineLevel="1">
      <c r="B275" s="26" t="s">
        <v>275</v>
      </c>
      <c r="C275" s="31" t="s">
        <v>42</v>
      </c>
      <c r="D275" s="31" t="s">
        <v>282</v>
      </c>
      <c r="E275" s="31" t="s">
        <v>233</v>
      </c>
      <c r="F275" s="31" t="s">
        <v>6</v>
      </c>
      <c r="G275" s="31" t="s">
        <v>8</v>
      </c>
      <c r="H275" s="32">
        <v>694.0</v>
      </c>
      <c r="I275" s="31"/>
    </row>
    <row r="276" spans="2:9" ht="16" outlineLevel="1">
      <c r="B276" s="26" t="s">
        <v>275</v>
      </c>
      <c r="C276" s="31" t="s">
        <v>42</v>
      </c>
      <c r="D276" s="31" t="s">
        <v>282</v>
      </c>
      <c r="E276" s="31" t="s">
        <v>233</v>
      </c>
      <c r="F276" s="31" t="s">
        <v>6</v>
      </c>
      <c r="G276" s="31" t="s">
        <v>24</v>
      </c>
      <c r="H276" s="31"/>
      <c r="I276" s="32">
        <v>694.0</v>
      </c>
    </row>
    <row r="277" spans="1:9" ht="16">
      <c r="A277" s="38" t="s">
        <v>283</v>
      </c>
      <c r="H277" s="33">
        <f>H275+H276</f>
        <v>694.0</v>
      </c>
      <c r="I277" s="33">
        <f>I275+I276</f>
        <v>694.0</v>
      </c>
    </row>
    <row r="278" spans="1:1" ht="16">
      <c r="A278" s="39" t="s">
        <v>284</v>
      </c>
    </row>
    <row r="279" spans="2:9" ht="16" outlineLevel="1">
      <c r="B279" s="26" t="s">
        <v>275</v>
      </c>
      <c r="C279" s="31" t="s">
        <v>38</v>
      </c>
      <c r="D279" s="31" t="s">
        <v>285</v>
      </c>
      <c r="E279" s="31" t="s">
        <v>205</v>
      </c>
      <c r="F279" s="31" t="s">
        <v>6</v>
      </c>
      <c r="G279" s="31" t="s">
        <v>8</v>
      </c>
      <c r="H279" s="31"/>
      <c r="I279" s="32">
        <v>900.0</v>
      </c>
    </row>
    <row r="280" spans="2:9" ht="16" outlineLevel="1">
      <c r="B280" s="26" t="s">
        <v>275</v>
      </c>
      <c r="C280" s="31" t="s">
        <v>38</v>
      </c>
      <c r="D280" s="31" t="s">
        <v>285</v>
      </c>
      <c r="E280" s="31" t="s">
        <v>205</v>
      </c>
      <c r="F280" s="31" t="s">
        <v>6</v>
      </c>
      <c r="G280" s="31" t="s">
        <v>16</v>
      </c>
      <c r="H280" s="32">
        <v>900.0</v>
      </c>
      <c r="I280" s="31"/>
    </row>
    <row r="281" spans="1:9" ht="16">
      <c r="A281" s="38" t="s">
        <v>286</v>
      </c>
      <c r="H281" s="33">
        <f>H279+H280</f>
        <v>900.0</v>
      </c>
      <c r="I281" s="33">
        <f>I279+I280</f>
        <v>900.0</v>
      </c>
    </row>
    <row r="282" spans="1:1" ht="16">
      <c r="A282" s="39" t="s">
        <v>287</v>
      </c>
    </row>
    <row r="283" spans="2:9" ht="16" outlineLevel="1">
      <c r="B283" s="26" t="s">
        <v>288</v>
      </c>
      <c r="C283" s="31" t="s">
        <v>77</v>
      </c>
      <c r="D283" s="31" t="s">
        <v>136</v>
      </c>
      <c r="E283" s="31" t="s">
        <v>289</v>
      </c>
      <c r="F283" s="31" t="s">
        <v>6</v>
      </c>
      <c r="G283" s="31" t="s">
        <v>8</v>
      </c>
      <c r="H283" s="31"/>
      <c r="I283" s="32">
        <v>18.08</v>
      </c>
    </row>
    <row r="284" spans="2:9" ht="16" outlineLevel="1">
      <c r="B284" s="26" t="s">
        <v>288</v>
      </c>
      <c r="C284" s="31" t="s">
        <v>77</v>
      </c>
      <c r="D284" s="31" t="s">
        <v>136</v>
      </c>
      <c r="E284" s="31" t="s">
        <v>289</v>
      </c>
      <c r="F284" s="31" t="s">
        <v>290</v>
      </c>
      <c r="G284" s="31" t="s">
        <v>291</v>
      </c>
      <c r="H284" s="32">
        <v>18.08</v>
      </c>
      <c r="I284" s="31"/>
    </row>
    <row r="285" spans="1:9" ht="16">
      <c r="A285" s="38" t="s">
        <v>292</v>
      </c>
      <c r="H285" s="33">
        <f>H283+H284</f>
        <v>18.08</v>
      </c>
      <c r="I285" s="33">
        <f>I283+I284</f>
        <v>18.08</v>
      </c>
    </row>
    <row r="286" spans="1:1" ht="16">
      <c r="A286" s="39" t="s">
        <v>293</v>
      </c>
    </row>
    <row r="287" spans="2:9" ht="16" outlineLevel="1">
      <c r="B287" s="26" t="s">
        <v>288</v>
      </c>
      <c r="C287" s="31" t="s">
        <v>56</v>
      </c>
      <c r="D287" s="31" t="s">
        <v>294</v>
      </c>
      <c r="E287" s="31" t="s">
        <v>71</v>
      </c>
      <c r="F287" s="31" t="s">
        <v>6</v>
      </c>
      <c r="G287" s="31" t="s">
        <v>72</v>
      </c>
      <c r="H287" s="31"/>
      <c r="I287" s="32">
        <v>82.45</v>
      </c>
    </row>
    <row r="288" spans="2:9" ht="16" outlineLevel="1">
      <c r="B288" s="26" t="s">
        <v>288</v>
      </c>
      <c r="C288" s="31" t="s">
        <v>56</v>
      </c>
      <c r="D288" s="31" t="s">
        <v>294</v>
      </c>
      <c r="E288" s="31" t="s">
        <v>71</v>
      </c>
      <c r="F288" s="31" t="s">
        <v>6</v>
      </c>
      <c r="G288" s="31" t="s">
        <v>73</v>
      </c>
      <c r="H288" s="32">
        <v>82.45</v>
      </c>
      <c r="I288" s="31"/>
    </row>
    <row r="289" spans="1:9" ht="16">
      <c r="A289" s="38" t="s">
        <v>295</v>
      </c>
      <c r="H289" s="33">
        <f>H287+H288</f>
        <v>82.45</v>
      </c>
      <c r="I289" s="33">
        <f>I287+I288</f>
        <v>82.45</v>
      </c>
    </row>
    <row r="290" spans="1:1" ht="16">
      <c r="A290" s="39" t="s">
        <v>296</v>
      </c>
    </row>
    <row r="291" spans="2:9" ht="16" outlineLevel="1">
      <c r="B291" s="26" t="s">
        <v>288</v>
      </c>
      <c r="C291" s="31" t="s">
        <v>56</v>
      </c>
      <c r="D291" s="31" t="s">
        <v>249</v>
      </c>
      <c r="E291" s="31" t="s">
        <v>138</v>
      </c>
      <c r="F291" s="31" t="s">
        <v>6</v>
      </c>
      <c r="G291" s="31" t="s">
        <v>8</v>
      </c>
      <c r="H291" s="31"/>
      <c r="I291" s="32">
        <v>215.66</v>
      </c>
    </row>
    <row r="292" spans="2:9" ht="16" outlineLevel="1">
      <c r="B292" s="26" t="s">
        <v>288</v>
      </c>
      <c r="C292" s="31" t="s">
        <v>56</v>
      </c>
      <c r="D292" s="31" t="s">
        <v>249</v>
      </c>
      <c r="E292" s="31" t="s">
        <v>138</v>
      </c>
      <c r="F292" s="31" t="s">
        <v>6</v>
      </c>
      <c r="G292" s="31" t="s">
        <v>297</v>
      </c>
      <c r="H292" s="32">
        <v>215.66</v>
      </c>
      <c r="I292" s="31"/>
    </row>
    <row r="293" spans="1:9" ht="16">
      <c r="A293" s="38" t="s">
        <v>298</v>
      </c>
      <c r="H293" s="33">
        <f>H291+H292</f>
        <v>215.66</v>
      </c>
      <c r="I293" s="33">
        <f>I291+I292</f>
        <v>215.66</v>
      </c>
    </row>
    <row r="294" spans="1:1" ht="16">
      <c r="A294" s="39" t="s">
        <v>285</v>
      </c>
    </row>
    <row r="295" spans="2:9" ht="16" outlineLevel="1">
      <c r="B295" s="26" t="s">
        <v>299</v>
      </c>
      <c r="C295" s="31" t="s">
        <v>163</v>
      </c>
      <c r="D295" s="31" t="s">
        <v>300</v>
      </c>
      <c r="E295" s="31" t="s">
        <v>301</v>
      </c>
      <c r="F295" s="31" t="s">
        <v>6</v>
      </c>
      <c r="G295" s="31" t="s">
        <v>8</v>
      </c>
      <c r="H295" s="32">
        <v>337.5</v>
      </c>
      <c r="I295" s="31"/>
    </row>
    <row r="296" spans="2:9" ht="16" outlineLevel="1">
      <c r="B296" s="26" t="s">
        <v>299</v>
      </c>
      <c r="C296" s="31" t="s">
        <v>163</v>
      </c>
      <c r="D296" s="31" t="s">
        <v>300</v>
      </c>
      <c r="E296" s="31" t="s">
        <v>301</v>
      </c>
      <c r="F296" s="31" t="s">
        <v>159</v>
      </c>
      <c r="G296" s="31" t="s">
        <v>160</v>
      </c>
      <c r="H296" s="31"/>
      <c r="I296" s="32">
        <v>337.5</v>
      </c>
    </row>
    <row r="297" spans="1:9" ht="16">
      <c r="A297" s="38" t="s">
        <v>302</v>
      </c>
      <c r="H297" s="33">
        <f>H295+H296</f>
        <v>337.5</v>
      </c>
      <c r="I297" s="33">
        <f>I295+I296</f>
        <v>337.5</v>
      </c>
    </row>
    <row r="298" spans="1:1" ht="16">
      <c r="A298" s="39" t="s">
        <v>143</v>
      </c>
    </row>
    <row r="299" spans="2:9" ht="16" outlineLevel="1">
      <c r="B299" s="26" t="s">
        <v>303</v>
      </c>
      <c r="C299" s="31" t="s">
        <v>5</v>
      </c>
      <c r="D299" s="31" t="s">
        <v>6</v>
      </c>
      <c r="E299" s="31" t="s">
        <v>6</v>
      </c>
      <c r="F299" s="31" t="s">
        <v>7</v>
      </c>
      <c r="G299" s="31" t="s">
        <v>304</v>
      </c>
      <c r="H299" s="32">
        <v>600.0</v>
      </c>
      <c r="I299" s="31"/>
    </row>
    <row r="300" spans="2:9" ht="16" outlineLevel="1">
      <c r="B300" s="26" t="s">
        <v>303</v>
      </c>
      <c r="C300" s="31" t="s">
        <v>5</v>
      </c>
      <c r="D300" s="31" t="s">
        <v>6</v>
      </c>
      <c r="E300" s="31" t="s">
        <v>6</v>
      </c>
      <c r="F300" s="31" t="s">
        <v>6</v>
      </c>
      <c r="G300" s="31" t="s">
        <v>9</v>
      </c>
      <c r="H300" s="31"/>
      <c r="I300" s="32">
        <v>600.0</v>
      </c>
    </row>
    <row r="301" spans="1:9" ht="16">
      <c r="A301" s="38" t="s">
        <v>305</v>
      </c>
      <c r="H301" s="33">
        <f>H299+H300</f>
        <v>600.0</v>
      </c>
      <c r="I301" s="33">
        <f>I299+I300</f>
        <v>600.0</v>
      </c>
    </row>
    <row r="302" spans="1:1" ht="16">
      <c r="A302" s="39" t="s">
        <v>306</v>
      </c>
    </row>
    <row r="303" spans="2:9" ht="16" outlineLevel="1">
      <c r="B303" s="26" t="s">
        <v>303</v>
      </c>
      <c r="C303" s="31" t="s">
        <v>163</v>
      </c>
      <c r="D303" s="31" t="s">
        <v>307</v>
      </c>
      <c r="E303" s="31" t="s">
        <v>308</v>
      </c>
      <c r="F303" s="31" t="s">
        <v>6</v>
      </c>
      <c r="G303" s="31" t="s">
        <v>46</v>
      </c>
      <c r="H303" s="32">
        <v>140.0</v>
      </c>
      <c r="I303" s="31"/>
    </row>
    <row r="304" spans="2:9" ht="16" outlineLevel="1">
      <c r="B304" s="26" t="s">
        <v>303</v>
      </c>
      <c r="C304" s="31" t="s">
        <v>163</v>
      </c>
      <c r="D304" s="31" t="s">
        <v>307</v>
      </c>
      <c r="E304" s="31" t="s">
        <v>308</v>
      </c>
      <c r="F304" s="31" t="s">
        <v>25</v>
      </c>
      <c r="G304" s="31" t="s">
        <v>26</v>
      </c>
      <c r="H304" s="31"/>
      <c r="I304" s="32">
        <v>140.0</v>
      </c>
    </row>
    <row r="305" spans="1:9" ht="16">
      <c r="A305" s="38" t="s">
        <v>309</v>
      </c>
      <c r="H305" s="33">
        <f>H303+H304</f>
        <v>140.0</v>
      </c>
      <c r="I305" s="33">
        <f>I303+I304</f>
        <v>140.0</v>
      </c>
    </row>
    <row r="306" spans="1:1" ht="16">
      <c r="A306" s="39" t="s">
        <v>310</v>
      </c>
    </row>
    <row r="307" spans="2:9" ht="16" outlineLevel="1">
      <c r="B307" s="26" t="s">
        <v>303</v>
      </c>
      <c r="C307" s="31" t="s">
        <v>42</v>
      </c>
      <c r="D307" s="31" t="s">
        <v>6</v>
      </c>
      <c r="E307" s="31" t="s">
        <v>213</v>
      </c>
      <c r="F307" s="31" t="s">
        <v>6</v>
      </c>
      <c r="G307" s="31" t="s">
        <v>46</v>
      </c>
      <c r="H307" s="32">
        <v>80.0</v>
      </c>
      <c r="I307" s="31"/>
    </row>
    <row r="308" spans="2:9" ht="16" outlineLevel="1">
      <c r="B308" s="26" t="s">
        <v>303</v>
      </c>
      <c r="C308" s="31" t="s">
        <v>42</v>
      </c>
      <c r="D308" s="31" t="s">
        <v>6</v>
      </c>
      <c r="E308" s="31" t="s">
        <v>213</v>
      </c>
      <c r="F308" s="31" t="s">
        <v>6</v>
      </c>
      <c r="G308" s="31" t="s">
        <v>24</v>
      </c>
      <c r="H308" s="31"/>
      <c r="I308" s="32">
        <v>80.0</v>
      </c>
    </row>
    <row r="309" spans="1:9" ht="16">
      <c r="A309" s="38" t="s">
        <v>311</v>
      </c>
      <c r="H309" s="33">
        <f>H307+H308</f>
        <v>80.0</v>
      </c>
      <c r="I309" s="33">
        <f>I307+I308</f>
        <v>80.0</v>
      </c>
    </row>
    <row r="310" spans="1:1" ht="16">
      <c r="A310" s="39" t="s">
        <v>312</v>
      </c>
    </row>
    <row r="311" spans="2:9" ht="16" outlineLevel="1">
      <c r="B311" s="26" t="s">
        <v>303</v>
      </c>
      <c r="C311" s="31" t="s">
        <v>261</v>
      </c>
      <c r="D311" s="31" t="s">
        <v>6</v>
      </c>
      <c r="E311" s="31" t="s">
        <v>262</v>
      </c>
      <c r="F311" s="31" t="s">
        <v>6</v>
      </c>
      <c r="G311" s="31" t="s">
        <v>8</v>
      </c>
      <c r="H311" s="31"/>
      <c r="I311" s="32">
        <v>3.86</v>
      </c>
    </row>
    <row r="312" spans="2:9" ht="16" outlineLevel="1">
      <c r="B312" s="26" t="s">
        <v>303</v>
      </c>
      <c r="C312" s="31" t="s">
        <v>261</v>
      </c>
      <c r="D312" s="31" t="s">
        <v>6</v>
      </c>
      <c r="E312" s="31" t="s">
        <v>262</v>
      </c>
      <c r="F312" s="31" t="s">
        <v>6</v>
      </c>
      <c r="G312" s="31" t="s">
        <v>263</v>
      </c>
      <c r="H312" s="32">
        <v>3.86</v>
      </c>
      <c r="I312" s="31"/>
    </row>
    <row r="313" spans="1:9" ht="16">
      <c r="A313" s="38" t="s">
        <v>313</v>
      </c>
      <c r="H313" s="33">
        <f>H311+H312</f>
        <v>3.86</v>
      </c>
      <c r="I313" s="33">
        <f>I311+I312</f>
        <v>3.86</v>
      </c>
    </row>
    <row r="314" spans="1:1" ht="16">
      <c r="A314" s="39" t="s">
        <v>182</v>
      </c>
    </row>
    <row r="315" spans="2:9" ht="16" outlineLevel="1">
      <c r="B315" s="26" t="s">
        <v>314</v>
      </c>
      <c r="C315" s="31" t="s">
        <v>198</v>
      </c>
      <c r="D315" s="31" t="s">
        <v>6</v>
      </c>
      <c r="E315" s="31" t="s">
        <v>6</v>
      </c>
      <c r="F315" s="31" t="s">
        <v>7</v>
      </c>
      <c r="G315" s="31" t="s">
        <v>315</v>
      </c>
      <c r="H315" s="31"/>
      <c r="I315" s="32">
        <v>4000.0</v>
      </c>
    </row>
    <row r="316" spans="2:9" ht="16" outlineLevel="1">
      <c r="B316" s="26" t="s">
        <v>314</v>
      </c>
      <c r="C316" s="31" t="s">
        <v>198</v>
      </c>
      <c r="D316" s="31" t="s">
        <v>6</v>
      </c>
      <c r="E316" s="31" t="s">
        <v>6</v>
      </c>
      <c r="F316" s="31" t="s">
        <v>7</v>
      </c>
      <c r="G316" s="31" t="s">
        <v>9</v>
      </c>
      <c r="H316" s="32">
        <v>4000.0</v>
      </c>
      <c r="I316" s="31"/>
    </row>
    <row r="317" spans="1:9" ht="16">
      <c r="A317" s="38" t="s">
        <v>316</v>
      </c>
      <c r="H317" s="33">
        <f>H315+H316</f>
        <v>4000.0</v>
      </c>
      <c r="I317" s="33">
        <f>I315+I316</f>
        <v>4000.0</v>
      </c>
    </row>
    <row r="318" spans="1:1" ht="16">
      <c r="A318" s="39" t="s">
        <v>186</v>
      </c>
    </row>
    <row r="319" spans="2:9" ht="16" outlineLevel="1">
      <c r="B319" s="26" t="s">
        <v>314</v>
      </c>
      <c r="C319" s="31" t="s">
        <v>198</v>
      </c>
      <c r="D319" s="31" t="s">
        <v>6</v>
      </c>
      <c r="E319" s="31" t="s">
        <v>6</v>
      </c>
      <c r="F319" s="31" t="s">
        <v>7</v>
      </c>
      <c r="G319" s="31" t="s">
        <v>317</v>
      </c>
      <c r="H319" s="31"/>
      <c r="I319" s="32">
        <v>25000.0</v>
      </c>
    </row>
    <row r="320" spans="2:9" ht="16" outlineLevel="1">
      <c r="B320" s="26" t="s">
        <v>314</v>
      </c>
      <c r="C320" s="31" t="s">
        <v>198</v>
      </c>
      <c r="D320" s="31" t="s">
        <v>6</v>
      </c>
      <c r="E320" s="31" t="s">
        <v>6</v>
      </c>
      <c r="F320" s="31" t="s">
        <v>7</v>
      </c>
      <c r="G320" s="31" t="s">
        <v>9</v>
      </c>
      <c r="H320" s="32">
        <v>25000.0</v>
      </c>
      <c r="I320" s="31"/>
    </row>
    <row r="321" spans="1:9" ht="16">
      <c r="A321" s="38" t="s">
        <v>318</v>
      </c>
      <c r="H321" s="33">
        <f>H319+H320</f>
        <v>25000.0</v>
      </c>
      <c r="I321" s="33">
        <f>I319+I320</f>
        <v>25000.0</v>
      </c>
    </row>
    <row r="322" spans="1:1" ht="16">
      <c r="A322" s="39" t="s">
        <v>125</v>
      </c>
    </row>
    <row r="323" spans="2:9" ht="16" outlineLevel="1">
      <c r="B323" s="26" t="s">
        <v>314</v>
      </c>
      <c r="C323" s="31" t="s">
        <v>21</v>
      </c>
      <c r="D323" s="31" t="s">
        <v>319</v>
      </c>
      <c r="E323" s="31" t="s">
        <v>89</v>
      </c>
      <c r="F323" s="31" t="s">
        <v>320</v>
      </c>
      <c r="G323" s="31" t="s">
        <v>24</v>
      </c>
      <c r="H323" s="32">
        <v>108.0</v>
      </c>
      <c r="I323" s="31"/>
    </row>
    <row r="324" spans="2:9" ht="16" outlineLevel="1">
      <c r="B324" s="26" t="s">
        <v>314</v>
      </c>
      <c r="C324" s="31" t="s">
        <v>21</v>
      </c>
      <c r="D324" s="31" t="s">
        <v>319</v>
      </c>
      <c r="E324" s="31" t="s">
        <v>89</v>
      </c>
      <c r="F324" s="31" t="s">
        <v>25</v>
      </c>
      <c r="G324" s="31" t="s">
        <v>26</v>
      </c>
      <c r="H324" s="31"/>
      <c r="I324" s="32">
        <v>100.0</v>
      </c>
    </row>
    <row r="325" spans="2:9" ht="16" outlineLevel="1">
      <c r="B325" s="26" t="s">
        <v>314</v>
      </c>
      <c r="C325" s="31" t="s">
        <v>21</v>
      </c>
      <c r="D325" s="31" t="s">
        <v>319</v>
      </c>
      <c r="E325" s="31" t="s">
        <v>89</v>
      </c>
      <c r="F325" s="31" t="s">
        <v>6</v>
      </c>
      <c r="G325" s="31" t="s">
        <v>34</v>
      </c>
      <c r="H325" s="31"/>
      <c r="I325" s="32">
        <v>8.0</v>
      </c>
    </row>
    <row r="326" spans="1:9" ht="16">
      <c r="A326" s="38" t="s">
        <v>321</v>
      </c>
      <c r="H326" s="33">
        <f>H323+H324+H325</f>
        <v>108.0</v>
      </c>
      <c r="I326" s="33">
        <f>I323+I324+I325</f>
        <v>108.0</v>
      </c>
    </row>
    <row r="327" spans="1:1" ht="16">
      <c r="A327" s="39" t="s">
        <v>247</v>
      </c>
    </row>
    <row r="328" spans="2:9" ht="16" outlineLevel="1">
      <c r="B328" s="26" t="s">
        <v>314</v>
      </c>
      <c r="C328" s="31" t="s">
        <v>38</v>
      </c>
      <c r="D328" s="31" t="s">
        <v>219</v>
      </c>
      <c r="E328" s="31" t="s">
        <v>276</v>
      </c>
      <c r="F328" s="31" t="s">
        <v>6</v>
      </c>
      <c r="G328" s="31" t="s">
        <v>8</v>
      </c>
      <c r="H328" s="31"/>
      <c r="I328" s="32">
        <v>2000.0</v>
      </c>
    </row>
    <row r="329" spans="2:9" ht="16" outlineLevel="1">
      <c r="B329" s="26" t="s">
        <v>314</v>
      </c>
      <c r="C329" s="31" t="s">
        <v>38</v>
      </c>
      <c r="D329" s="31" t="s">
        <v>219</v>
      </c>
      <c r="E329" s="31" t="s">
        <v>276</v>
      </c>
      <c r="F329" s="31" t="s">
        <v>6</v>
      </c>
      <c r="G329" s="31" t="s">
        <v>16</v>
      </c>
      <c r="H329" s="32">
        <v>2000.0</v>
      </c>
      <c r="I329" s="31"/>
    </row>
    <row r="330" spans="1:9" ht="16">
      <c r="A330" s="38" t="s">
        <v>322</v>
      </c>
      <c r="H330" s="33">
        <f>H328+H329</f>
        <v>2000.0</v>
      </c>
      <c r="I330" s="33">
        <f>I328+I329</f>
        <v>2000.0</v>
      </c>
    </row>
    <row r="331" spans="1:1" ht="16">
      <c r="A331" s="39" t="s">
        <v>323</v>
      </c>
    </row>
    <row r="332" spans="2:9" ht="16" outlineLevel="1">
      <c r="B332" s="26" t="s">
        <v>314</v>
      </c>
      <c r="C332" s="31" t="s">
        <v>13</v>
      </c>
      <c r="D332" s="31" t="s">
        <v>6</v>
      </c>
      <c r="E332" s="31" t="s">
        <v>324</v>
      </c>
      <c r="F332" s="31" t="s">
        <v>6</v>
      </c>
      <c r="G332" s="31" t="s">
        <v>16</v>
      </c>
      <c r="H332" s="31"/>
      <c r="I332" s="32">
        <v>103.55</v>
      </c>
    </row>
    <row r="333" spans="2:9" ht="16" outlineLevel="1">
      <c r="B333" s="26" t="s">
        <v>314</v>
      </c>
      <c r="C333" s="31" t="s">
        <v>13</v>
      </c>
      <c r="D333" s="31" t="s">
        <v>6</v>
      </c>
      <c r="E333" s="31" t="s">
        <v>324</v>
      </c>
      <c r="F333" s="31" t="s">
        <v>325</v>
      </c>
      <c r="G333" s="31" t="s">
        <v>243</v>
      </c>
      <c r="H333" s="32">
        <v>103.55</v>
      </c>
      <c r="I333" s="31"/>
    </row>
    <row r="334" spans="1:9" ht="16">
      <c r="A334" s="38" t="s">
        <v>326</v>
      </c>
      <c r="H334" s="33">
        <f>H332+H333</f>
        <v>103.55</v>
      </c>
      <c r="I334" s="33">
        <f>I332+I333</f>
        <v>103.55</v>
      </c>
    </row>
    <row r="335" spans="1:1" ht="16">
      <c r="A335" s="39" t="s">
        <v>327</v>
      </c>
    </row>
    <row r="336" spans="2:9" ht="16" outlineLevel="1">
      <c r="B336" s="26" t="s">
        <v>314</v>
      </c>
      <c r="C336" s="31" t="s">
        <v>21</v>
      </c>
      <c r="D336" s="31" t="s">
        <v>328</v>
      </c>
      <c r="E336" s="31" t="s">
        <v>240</v>
      </c>
      <c r="F336" s="31" t="s">
        <v>6</v>
      </c>
      <c r="G336" s="31" t="s">
        <v>24</v>
      </c>
      <c r="H336" s="32">
        <v>103.55</v>
      </c>
      <c r="I336" s="31"/>
    </row>
    <row r="337" spans="2:9" ht="16" outlineLevel="1">
      <c r="B337" s="26" t="s">
        <v>314</v>
      </c>
      <c r="C337" s="31" t="s">
        <v>21</v>
      </c>
      <c r="D337" s="31" t="s">
        <v>328</v>
      </c>
      <c r="E337" s="31" t="s">
        <v>240</v>
      </c>
      <c r="F337" s="31" t="s">
        <v>325</v>
      </c>
      <c r="G337" s="31" t="s">
        <v>236</v>
      </c>
      <c r="H337" s="31"/>
      <c r="I337" s="32">
        <v>103.55</v>
      </c>
    </row>
    <row r="338" spans="1:9" ht="16">
      <c r="A338" s="38" t="s">
        <v>329</v>
      </c>
      <c r="H338" s="33">
        <f>H336+H337</f>
        <v>103.55</v>
      </c>
      <c r="I338" s="33">
        <f>I336+I337</f>
        <v>103.55</v>
      </c>
    </row>
    <row r="339" spans="1:1" ht="16">
      <c r="A339" s="39" t="s">
        <v>330</v>
      </c>
    </row>
    <row r="340" spans="2:9" ht="16" outlineLevel="1">
      <c r="B340" s="26" t="s">
        <v>314</v>
      </c>
      <c r="C340" s="31" t="s">
        <v>21</v>
      </c>
      <c r="D340" s="31" t="s">
        <v>331</v>
      </c>
      <c r="E340" s="31" t="s">
        <v>240</v>
      </c>
      <c r="F340" s="31" t="s">
        <v>6</v>
      </c>
      <c r="G340" s="31" t="s">
        <v>24</v>
      </c>
      <c r="H340" s="32">
        <v>414.72</v>
      </c>
      <c r="I340" s="31"/>
    </row>
    <row r="341" spans="2:9" ht="16" outlineLevel="1">
      <c r="B341" s="26" t="s">
        <v>314</v>
      </c>
      <c r="C341" s="31" t="s">
        <v>21</v>
      </c>
      <c r="D341" s="31" t="s">
        <v>331</v>
      </c>
      <c r="E341" s="31" t="s">
        <v>240</v>
      </c>
      <c r="F341" s="31" t="s">
        <v>32</v>
      </c>
      <c r="G341" s="31" t="s">
        <v>33</v>
      </c>
      <c r="H341" s="31"/>
      <c r="I341" s="32">
        <v>300.0</v>
      </c>
    </row>
    <row r="342" spans="2:9" ht="16" outlineLevel="1">
      <c r="B342" s="26" t="s">
        <v>314</v>
      </c>
      <c r="C342" s="31" t="s">
        <v>21</v>
      </c>
      <c r="D342" s="31" t="s">
        <v>331</v>
      </c>
      <c r="E342" s="31" t="s">
        <v>240</v>
      </c>
      <c r="F342" s="31" t="s">
        <v>66</v>
      </c>
      <c r="G342" s="31" t="s">
        <v>52</v>
      </c>
      <c r="H342" s="31"/>
      <c r="I342" s="32">
        <v>84.0</v>
      </c>
    </row>
    <row r="343" spans="2:9" ht="16" outlineLevel="1">
      <c r="B343" s="26" t="s">
        <v>314</v>
      </c>
      <c r="C343" s="31" t="s">
        <v>21</v>
      </c>
      <c r="D343" s="31" t="s">
        <v>331</v>
      </c>
      <c r="E343" s="31" t="s">
        <v>240</v>
      </c>
      <c r="F343" s="31" t="s">
        <v>6</v>
      </c>
      <c r="G343" s="31" t="s">
        <v>34</v>
      </c>
      <c r="H343" s="31"/>
      <c r="I343" s="32">
        <v>30.72</v>
      </c>
    </row>
    <row r="344" spans="1:9" ht="16">
      <c r="A344" s="38" t="s">
        <v>332</v>
      </c>
      <c r="H344" s="33">
        <f>H340+H341+H342+H343</f>
        <v>414.72</v>
      </c>
      <c r="I344" s="33">
        <f>I340+I341+I342+I343</f>
        <v>414.72</v>
      </c>
    </row>
    <row r="345" spans="1:1" ht="16">
      <c r="A345" s="39" t="s">
        <v>333</v>
      </c>
    </row>
    <row r="346" spans="2:9" ht="16" outlineLevel="1">
      <c r="B346" s="26" t="s">
        <v>334</v>
      </c>
      <c r="C346" s="31" t="s">
        <v>42</v>
      </c>
      <c r="D346" s="31" t="s">
        <v>335</v>
      </c>
      <c r="E346" s="31" t="s">
        <v>89</v>
      </c>
      <c r="F346" s="31" t="s">
        <v>6</v>
      </c>
      <c r="G346" s="31" t="s">
        <v>46</v>
      </c>
      <c r="H346" s="32">
        <v>108.0</v>
      </c>
      <c r="I346" s="31"/>
    </row>
    <row r="347" spans="2:9" ht="16" outlineLevel="1">
      <c r="B347" s="26" t="s">
        <v>334</v>
      </c>
      <c r="C347" s="31" t="s">
        <v>42</v>
      </c>
      <c r="D347" s="31" t="s">
        <v>335</v>
      </c>
      <c r="E347" s="31" t="s">
        <v>89</v>
      </c>
      <c r="F347" s="31" t="s">
        <v>6</v>
      </c>
      <c r="G347" s="31" t="s">
        <v>24</v>
      </c>
      <c r="H347" s="31"/>
      <c r="I347" s="32">
        <v>108.0</v>
      </c>
    </row>
    <row r="348" spans="1:9" ht="16">
      <c r="A348" s="38" t="s">
        <v>336</v>
      </c>
      <c r="H348" s="33">
        <f>H346+H347</f>
        <v>108.0</v>
      </c>
      <c r="I348" s="33">
        <f>I346+I347</f>
        <v>108.0</v>
      </c>
    </row>
    <row r="349" spans="1:1" ht="16">
      <c r="A349" s="39" t="s">
        <v>337</v>
      </c>
    </row>
    <row r="350" spans="2:9" ht="16" outlineLevel="1">
      <c r="B350" s="26" t="s">
        <v>334</v>
      </c>
      <c r="C350" s="31" t="s">
        <v>42</v>
      </c>
      <c r="D350" s="31" t="s">
        <v>338</v>
      </c>
      <c r="E350" s="31" t="s">
        <v>158</v>
      </c>
      <c r="F350" s="31" t="s">
        <v>6</v>
      </c>
      <c r="G350" s="31" t="s">
        <v>46</v>
      </c>
      <c r="H350" s="32">
        <v>300.0</v>
      </c>
      <c r="I350" s="31"/>
    </row>
    <row r="351" spans="2:9" ht="16" outlineLevel="1">
      <c r="B351" s="26" t="s">
        <v>334</v>
      </c>
      <c r="C351" s="31" t="s">
        <v>42</v>
      </c>
      <c r="D351" s="31" t="s">
        <v>338</v>
      </c>
      <c r="E351" s="31" t="s">
        <v>158</v>
      </c>
      <c r="F351" s="31" t="s">
        <v>6</v>
      </c>
      <c r="G351" s="31" t="s">
        <v>24</v>
      </c>
      <c r="H351" s="31"/>
      <c r="I351" s="32">
        <v>300.0</v>
      </c>
    </row>
    <row r="352" spans="1:9" ht="16">
      <c r="A352" s="38" t="s">
        <v>339</v>
      </c>
      <c r="H352" s="33">
        <f>H350+H351</f>
        <v>300.0</v>
      </c>
      <c r="I352" s="33">
        <f>I350+I351</f>
        <v>300.0</v>
      </c>
    </row>
    <row r="353" spans="1:1" ht="16">
      <c r="A353" s="39" t="s">
        <v>340</v>
      </c>
    </row>
    <row r="354" spans="2:9" ht="16" outlineLevel="1">
      <c r="B354" s="26" t="s">
        <v>334</v>
      </c>
      <c r="C354" s="31" t="s">
        <v>42</v>
      </c>
      <c r="D354" s="31" t="s">
        <v>6</v>
      </c>
      <c r="E354" s="31" t="s">
        <v>98</v>
      </c>
      <c r="F354" s="31" t="s">
        <v>6</v>
      </c>
      <c r="G354" s="31" t="s">
        <v>8</v>
      </c>
      <c r="H354" s="32">
        <v>50.0</v>
      </c>
      <c r="I354" s="31"/>
    </row>
    <row r="355" spans="2:9" ht="16" outlineLevel="1">
      <c r="B355" s="26" t="s">
        <v>334</v>
      </c>
      <c r="C355" s="31" t="s">
        <v>42</v>
      </c>
      <c r="D355" s="31" t="s">
        <v>6</v>
      </c>
      <c r="E355" s="31" t="s">
        <v>98</v>
      </c>
      <c r="F355" s="31" t="s">
        <v>6</v>
      </c>
      <c r="G355" s="31" t="s">
        <v>24</v>
      </c>
      <c r="H355" s="31"/>
      <c r="I355" s="32">
        <v>50.0</v>
      </c>
    </row>
    <row r="356" spans="1:9" ht="16">
      <c r="A356" s="38" t="s">
        <v>341</v>
      </c>
      <c r="H356" s="33">
        <f>H354+H355</f>
        <v>50.0</v>
      </c>
      <c r="I356" s="33">
        <f>I354+I355</f>
        <v>50.0</v>
      </c>
    </row>
    <row r="357" spans="1:1" ht="16">
      <c r="A357" s="39" t="s">
        <v>342</v>
      </c>
    </row>
    <row r="358" spans="2:9" ht="16" outlineLevel="1">
      <c r="B358" s="26" t="s">
        <v>334</v>
      </c>
      <c r="C358" s="31" t="s">
        <v>21</v>
      </c>
      <c r="D358" s="31" t="s">
        <v>343</v>
      </c>
      <c r="E358" s="31" t="s">
        <v>344</v>
      </c>
      <c r="F358" s="31" t="s">
        <v>6</v>
      </c>
      <c r="G358" s="31" t="s">
        <v>24</v>
      </c>
      <c r="H358" s="32">
        <v>375.0</v>
      </c>
      <c r="I358" s="31"/>
    </row>
    <row r="359" spans="2:9" ht="16" outlineLevel="1">
      <c r="B359" s="26" t="s">
        <v>334</v>
      </c>
      <c r="C359" s="31" t="s">
        <v>21</v>
      </c>
      <c r="D359" s="31" t="s">
        <v>343</v>
      </c>
      <c r="E359" s="31" t="s">
        <v>344</v>
      </c>
      <c r="F359" s="31" t="s">
        <v>159</v>
      </c>
      <c r="G359" s="31" t="s">
        <v>160</v>
      </c>
      <c r="H359" s="31"/>
      <c r="I359" s="32">
        <v>375.0</v>
      </c>
    </row>
    <row r="360" spans="1:9" ht="16">
      <c r="A360" s="38" t="s">
        <v>345</v>
      </c>
      <c r="H360" s="33">
        <f>H358+H359</f>
        <v>375.0</v>
      </c>
      <c r="I360" s="33">
        <f>I358+I359</f>
        <v>375.0</v>
      </c>
    </row>
    <row r="361" spans="1:1" ht="16">
      <c r="A361" s="39" t="s">
        <v>346</v>
      </c>
    </row>
    <row r="362" spans="2:9" ht="16" outlineLevel="1">
      <c r="B362" s="26" t="s">
        <v>334</v>
      </c>
      <c r="C362" s="31" t="s">
        <v>38</v>
      </c>
      <c r="D362" s="31" t="s">
        <v>70</v>
      </c>
      <c r="E362" s="31" t="s">
        <v>129</v>
      </c>
      <c r="F362" s="31" t="s">
        <v>6</v>
      </c>
      <c r="G362" s="31" t="s">
        <v>8</v>
      </c>
      <c r="H362" s="31"/>
      <c r="I362" s="32">
        <v>75.0</v>
      </c>
    </row>
    <row r="363" spans="2:9" ht="16" outlineLevel="1">
      <c r="B363" s="26" t="s">
        <v>334</v>
      </c>
      <c r="C363" s="31" t="s">
        <v>38</v>
      </c>
      <c r="D363" s="31" t="s">
        <v>70</v>
      </c>
      <c r="E363" s="31" t="s">
        <v>129</v>
      </c>
      <c r="F363" s="31" t="s">
        <v>6</v>
      </c>
      <c r="G363" s="31" t="s">
        <v>16</v>
      </c>
      <c r="H363" s="32">
        <v>75.0</v>
      </c>
      <c r="I363" s="31"/>
    </row>
    <row r="364" spans="1:9" ht="16">
      <c r="A364" s="38" t="s">
        <v>347</v>
      </c>
      <c r="H364" s="33">
        <f>H362+H363</f>
        <v>75.0</v>
      </c>
      <c r="I364" s="33">
        <f>I362+I363</f>
        <v>75.0</v>
      </c>
    </row>
    <row r="365" spans="1:1" ht="16">
      <c r="A365" s="39" t="s">
        <v>348</v>
      </c>
    </row>
    <row r="366" spans="2:9" ht="16" outlineLevel="1">
      <c r="B366" s="26" t="s">
        <v>334</v>
      </c>
      <c r="C366" s="31" t="s">
        <v>163</v>
      </c>
      <c r="D366" s="31" t="s">
        <v>349</v>
      </c>
      <c r="E366" s="31" t="s">
        <v>350</v>
      </c>
      <c r="F366" s="31" t="s">
        <v>6</v>
      </c>
      <c r="G366" s="31" t="s">
        <v>46</v>
      </c>
      <c r="H366" s="32">
        <v>78.75</v>
      </c>
      <c r="I366" s="31"/>
    </row>
    <row r="367" spans="2:9" ht="16" outlineLevel="1">
      <c r="B367" s="26" t="s">
        <v>334</v>
      </c>
      <c r="C367" s="31" t="s">
        <v>163</v>
      </c>
      <c r="D367" s="31" t="s">
        <v>349</v>
      </c>
      <c r="E367" s="31" t="s">
        <v>350</v>
      </c>
      <c r="F367" s="31" t="s">
        <v>27</v>
      </c>
      <c r="G367" s="31" t="s">
        <v>27</v>
      </c>
      <c r="H367" s="31"/>
      <c r="I367" s="32">
        <v>87.5</v>
      </c>
    </row>
    <row r="368" spans="2:9" ht="16" outlineLevel="1">
      <c r="B368" s="26" t="s">
        <v>334</v>
      </c>
      <c r="C368" s="31" t="s">
        <v>163</v>
      </c>
      <c r="D368" s="31" t="s">
        <v>349</v>
      </c>
      <c r="E368" s="31" t="s">
        <v>350</v>
      </c>
      <c r="F368" s="31" t="s">
        <v>228</v>
      </c>
      <c r="G368" s="31" t="s">
        <v>229</v>
      </c>
      <c r="H368" s="32">
        <v>8.75</v>
      </c>
      <c r="I368" s="31"/>
    </row>
    <row r="369" spans="1:9" ht="16">
      <c r="A369" s="38" t="s">
        <v>351</v>
      </c>
      <c r="H369" s="33">
        <f>H366+H367+H368</f>
        <v>87.5</v>
      </c>
      <c r="I369" s="33">
        <f>I366+I367+I368</f>
        <v>87.5</v>
      </c>
    </row>
    <row r="370" spans="1:1" ht="16">
      <c r="A370" s="39" t="s">
        <v>352</v>
      </c>
    </row>
    <row r="371" spans="2:9" ht="16" outlineLevel="1">
      <c r="B371" s="26" t="s">
        <v>334</v>
      </c>
      <c r="C371" s="31" t="s">
        <v>42</v>
      </c>
      <c r="D371" s="31" t="s">
        <v>353</v>
      </c>
      <c r="E371" s="31" t="s">
        <v>240</v>
      </c>
      <c r="F371" s="31" t="s">
        <v>6</v>
      </c>
      <c r="G371" s="31" t="s">
        <v>8</v>
      </c>
      <c r="H371" s="32">
        <v>103.55</v>
      </c>
      <c r="I371" s="31"/>
    </row>
    <row r="372" spans="2:9" ht="16" outlineLevel="1">
      <c r="B372" s="26" t="s">
        <v>334</v>
      </c>
      <c r="C372" s="31" t="s">
        <v>42</v>
      </c>
      <c r="D372" s="31" t="s">
        <v>353</v>
      </c>
      <c r="E372" s="31" t="s">
        <v>240</v>
      </c>
      <c r="F372" s="31" t="s">
        <v>6</v>
      </c>
      <c r="G372" s="31" t="s">
        <v>24</v>
      </c>
      <c r="H372" s="31"/>
      <c r="I372" s="32">
        <v>103.55</v>
      </c>
    </row>
    <row r="373" spans="1:9" ht="16">
      <c r="A373" s="38" t="s">
        <v>354</v>
      </c>
      <c r="H373" s="33">
        <f>H371+H372</f>
        <v>103.55</v>
      </c>
      <c r="I373" s="33">
        <f>I371+I372</f>
        <v>103.55</v>
      </c>
    </row>
    <row r="374" spans="1:1" ht="16">
      <c r="A374" s="39" t="s">
        <v>355</v>
      </c>
    </row>
    <row r="375" spans="2:9" ht="16" outlineLevel="1">
      <c r="B375" s="26" t="s">
        <v>334</v>
      </c>
      <c r="C375" s="31" t="s">
        <v>13</v>
      </c>
      <c r="D375" s="31" t="s">
        <v>6</v>
      </c>
      <c r="E375" s="31" t="s">
        <v>356</v>
      </c>
      <c r="F375" s="31" t="s">
        <v>6</v>
      </c>
      <c r="G375" s="31" t="s">
        <v>16</v>
      </c>
      <c r="H375" s="31"/>
      <c r="I375" s="32">
        <v>755.0</v>
      </c>
    </row>
    <row r="376" spans="2:9" ht="16" outlineLevel="1">
      <c r="B376" s="26" t="s">
        <v>334</v>
      </c>
      <c r="C376" s="31" t="s">
        <v>13</v>
      </c>
      <c r="D376" s="31" t="s">
        <v>6</v>
      </c>
      <c r="E376" s="31" t="s">
        <v>356</v>
      </c>
      <c r="F376" s="31" t="s">
        <v>357</v>
      </c>
      <c r="G376" s="31" t="s">
        <v>358</v>
      </c>
      <c r="H376" s="32">
        <v>755.0</v>
      </c>
      <c r="I376" s="31"/>
    </row>
    <row r="377" spans="1:9" ht="16">
      <c r="A377" s="38" t="s">
        <v>359</v>
      </c>
      <c r="H377" s="33">
        <f>H375+H376</f>
        <v>755.0</v>
      </c>
      <c r="I377" s="33">
        <f>I375+I376</f>
        <v>755.0</v>
      </c>
    </row>
    <row r="378" spans="1:1" ht="16">
      <c r="A378" s="39" t="s">
        <v>360</v>
      </c>
    </row>
    <row r="379" spans="2:9" ht="16" outlineLevel="1">
      <c r="B379" s="26" t="s">
        <v>334</v>
      </c>
      <c r="C379" s="31" t="s">
        <v>21</v>
      </c>
      <c r="D379" s="31" t="s">
        <v>361</v>
      </c>
      <c r="E379" s="31" t="s">
        <v>362</v>
      </c>
      <c r="F379" s="31" t="s">
        <v>6</v>
      </c>
      <c r="G379" s="31" t="s">
        <v>24</v>
      </c>
      <c r="H379" s="32">
        <v>954.75</v>
      </c>
      <c r="I379" s="31"/>
    </row>
    <row r="380" spans="2:9" ht="16" outlineLevel="1">
      <c r="B380" s="26" t="s">
        <v>334</v>
      </c>
      <c r="C380" s="31" t="s">
        <v>21</v>
      </c>
      <c r="D380" s="31" t="s">
        <v>361</v>
      </c>
      <c r="E380" s="31" t="s">
        <v>362</v>
      </c>
      <c r="F380" s="31" t="s">
        <v>159</v>
      </c>
      <c r="G380" s="31" t="s">
        <v>160</v>
      </c>
      <c r="H380" s="31"/>
      <c r="I380" s="32">
        <v>300.0</v>
      </c>
    </row>
    <row r="381" spans="2:9" ht="16" outlineLevel="1">
      <c r="B381" s="26" t="s">
        <v>334</v>
      </c>
      <c r="C381" s="31" t="s">
        <v>21</v>
      </c>
      <c r="D381" s="31" t="s">
        <v>361</v>
      </c>
      <c r="E381" s="31" t="s">
        <v>362</v>
      </c>
      <c r="F381" s="31" t="s">
        <v>363</v>
      </c>
      <c r="G381" s="31" t="s">
        <v>364</v>
      </c>
      <c r="H381" s="31"/>
      <c r="I381" s="32">
        <v>250.0</v>
      </c>
    </row>
    <row r="382" spans="2:9" ht="16" outlineLevel="1">
      <c r="B382" s="26" t="s">
        <v>334</v>
      </c>
      <c r="C382" s="31" t="s">
        <v>21</v>
      </c>
      <c r="D382" s="31" t="s">
        <v>361</v>
      </c>
      <c r="E382" s="31" t="s">
        <v>362</v>
      </c>
      <c r="F382" s="31" t="s">
        <v>51</v>
      </c>
      <c r="G382" s="31" t="s">
        <v>52</v>
      </c>
      <c r="H382" s="31"/>
      <c r="I382" s="32">
        <v>275.0</v>
      </c>
    </row>
    <row r="383" spans="2:9" ht="16" outlineLevel="1">
      <c r="B383" s="26" t="s">
        <v>334</v>
      </c>
      <c r="C383" s="31" t="s">
        <v>21</v>
      </c>
      <c r="D383" s="31" t="s">
        <v>361</v>
      </c>
      <c r="E383" s="31" t="s">
        <v>362</v>
      </c>
      <c r="F383" s="31" t="s">
        <v>66</v>
      </c>
      <c r="G383" s="31" t="s">
        <v>52</v>
      </c>
      <c r="H383" s="31"/>
      <c r="I383" s="32">
        <v>180.0</v>
      </c>
    </row>
    <row r="384" spans="2:9" ht="16" outlineLevel="1">
      <c r="B384" s="26" t="s">
        <v>334</v>
      </c>
      <c r="C384" s="31" t="s">
        <v>21</v>
      </c>
      <c r="D384" s="31" t="s">
        <v>361</v>
      </c>
      <c r="E384" s="31" t="s">
        <v>362</v>
      </c>
      <c r="F384" s="31" t="s">
        <v>228</v>
      </c>
      <c r="G384" s="31" t="s">
        <v>229</v>
      </c>
      <c r="H384" s="32">
        <v>50.25</v>
      </c>
      <c r="I384" s="31"/>
    </row>
    <row r="385" spans="1:9" ht="16">
      <c r="A385" s="38" t="s">
        <v>365</v>
      </c>
      <c r="H385" s="33">
        <f>H379+H380+H381+H382+H383+H384</f>
        <v>1005.0</v>
      </c>
      <c r="I385" s="33">
        <f>I379+I380+I381+I382+I383+I384</f>
        <v>1005.0</v>
      </c>
    </row>
    <row r="386" spans="1:1" ht="16">
      <c r="A386" s="39" t="s">
        <v>294</v>
      </c>
    </row>
    <row r="387" spans="2:9" ht="16" outlineLevel="1">
      <c r="B387" s="26" t="s">
        <v>334</v>
      </c>
      <c r="C387" s="31" t="s">
        <v>366</v>
      </c>
      <c r="D387" s="31" t="s">
        <v>219</v>
      </c>
      <c r="E387" s="31" t="s">
        <v>108</v>
      </c>
      <c r="F387" s="31" t="s">
        <v>6</v>
      </c>
      <c r="G387" s="31" t="s">
        <v>72</v>
      </c>
      <c r="H387" s="31"/>
      <c r="I387" s="32">
        <v>74.36</v>
      </c>
    </row>
    <row r="388" spans="2:9" ht="16" outlineLevel="1">
      <c r="B388" s="26" t="s">
        <v>334</v>
      </c>
      <c r="C388" s="31" t="s">
        <v>366</v>
      </c>
      <c r="D388" s="31" t="s">
        <v>219</v>
      </c>
      <c r="E388" s="31" t="s">
        <v>108</v>
      </c>
      <c r="F388" s="31" t="s">
        <v>6</v>
      </c>
      <c r="G388" s="31" t="s">
        <v>16</v>
      </c>
      <c r="H388" s="32">
        <v>74.36</v>
      </c>
      <c r="I388" s="31"/>
    </row>
    <row r="389" spans="1:9" ht="16">
      <c r="A389" s="38" t="s">
        <v>367</v>
      </c>
      <c r="H389" s="33">
        <f>H387+H388</f>
        <v>74.36</v>
      </c>
      <c r="I389" s="33">
        <f>I387+I388</f>
        <v>74.36</v>
      </c>
    </row>
    <row r="390" spans="1:1" ht="16">
      <c r="A390" s="39" t="s">
        <v>368</v>
      </c>
    </row>
    <row r="391" spans="2:9" ht="16" outlineLevel="1">
      <c r="B391" s="26" t="s">
        <v>334</v>
      </c>
      <c r="C391" s="31" t="s">
        <v>56</v>
      </c>
      <c r="D391" s="31" t="s">
        <v>219</v>
      </c>
      <c r="E391" s="31" t="s">
        <v>369</v>
      </c>
      <c r="F391" s="31" t="s">
        <v>6</v>
      </c>
      <c r="G391" s="31" t="s">
        <v>72</v>
      </c>
      <c r="H391" s="31"/>
      <c r="I391" s="32">
        <v>112.0</v>
      </c>
    </row>
    <row r="392" spans="2:9" ht="16" outlineLevel="1">
      <c r="B392" s="26" t="s">
        <v>334</v>
      </c>
      <c r="C392" s="31" t="s">
        <v>56</v>
      </c>
      <c r="D392" s="31" t="s">
        <v>219</v>
      </c>
      <c r="E392" s="31" t="s">
        <v>369</v>
      </c>
      <c r="F392" s="31" t="s">
        <v>370</v>
      </c>
      <c r="G392" s="31" t="s">
        <v>371</v>
      </c>
      <c r="H392" s="32">
        <v>112.0</v>
      </c>
      <c r="I392" s="31"/>
    </row>
    <row r="393" spans="1:9" ht="16">
      <c r="A393" s="38" t="s">
        <v>372</v>
      </c>
      <c r="H393" s="33">
        <f>H391+H392</f>
        <v>112.0</v>
      </c>
      <c r="I393" s="33">
        <f>I391+I392</f>
        <v>112.0</v>
      </c>
    </row>
    <row r="394" spans="1:1" ht="16">
      <c r="A394" s="39" t="s">
        <v>373</v>
      </c>
    </row>
    <row r="395" spans="2:9" ht="16" outlineLevel="1">
      <c r="B395" s="26" t="s">
        <v>334</v>
      </c>
      <c r="C395" s="31" t="s">
        <v>56</v>
      </c>
      <c r="D395" s="31" t="s">
        <v>6</v>
      </c>
      <c r="E395" s="31" t="s">
        <v>374</v>
      </c>
      <c r="F395" s="31" t="s">
        <v>6</v>
      </c>
      <c r="G395" s="31" t="s">
        <v>72</v>
      </c>
      <c r="H395" s="31"/>
      <c r="I395" s="32">
        <v>74.86</v>
      </c>
    </row>
    <row r="396" spans="2:9" ht="16" outlineLevel="1">
      <c r="B396" s="26" t="s">
        <v>334</v>
      </c>
      <c r="C396" s="31" t="s">
        <v>56</v>
      </c>
      <c r="D396" s="31" t="s">
        <v>6</v>
      </c>
      <c r="E396" s="31" t="s">
        <v>374</v>
      </c>
      <c r="F396" s="31" t="s">
        <v>6</v>
      </c>
      <c r="G396" s="31" t="s">
        <v>375</v>
      </c>
      <c r="H396" s="32">
        <v>74.86</v>
      </c>
      <c r="I396" s="31"/>
    </row>
    <row r="397" spans="1:9" ht="16">
      <c r="A397" s="38" t="s">
        <v>376</v>
      </c>
      <c r="H397" s="33">
        <f>H395+H396</f>
        <v>74.86</v>
      </c>
      <c r="I397" s="33">
        <f>I395+I396</f>
        <v>74.86</v>
      </c>
    </row>
    <row r="398" spans="1:1" ht="16">
      <c r="A398" s="39" t="s">
        <v>377</v>
      </c>
    </row>
    <row r="399" spans="2:9" ht="16" outlineLevel="1">
      <c r="B399" s="26" t="s">
        <v>334</v>
      </c>
      <c r="C399" s="31" t="s">
        <v>5</v>
      </c>
      <c r="D399" s="31" t="s">
        <v>6</v>
      </c>
      <c r="E399" s="31" t="s">
        <v>6</v>
      </c>
      <c r="F399" s="31" t="s">
        <v>6</v>
      </c>
      <c r="G399" s="31" t="s">
        <v>8</v>
      </c>
      <c r="H399" s="32">
        <v>218.75</v>
      </c>
      <c r="I399" s="31"/>
    </row>
    <row r="400" spans="2:9" ht="16" outlineLevel="1">
      <c r="B400" s="26" t="s">
        <v>334</v>
      </c>
      <c r="C400" s="31" t="s">
        <v>5</v>
      </c>
      <c r="D400" s="31" t="s">
        <v>6</v>
      </c>
      <c r="E400" s="31" t="s">
        <v>6</v>
      </c>
      <c r="F400" s="31" t="s">
        <v>6</v>
      </c>
      <c r="G400" s="31" t="s">
        <v>46</v>
      </c>
      <c r="H400" s="31"/>
      <c r="I400" s="32">
        <v>140.0</v>
      </c>
    </row>
    <row r="401" spans="2:9" ht="16" outlineLevel="1">
      <c r="B401" s="26" t="s">
        <v>334</v>
      </c>
      <c r="C401" s="31" t="s">
        <v>5</v>
      </c>
      <c r="D401" s="31" t="s">
        <v>6</v>
      </c>
      <c r="E401" s="31" t="s">
        <v>6</v>
      </c>
      <c r="F401" s="31" t="s">
        <v>6</v>
      </c>
      <c r="G401" s="31" t="s">
        <v>46</v>
      </c>
      <c r="H401" s="31"/>
      <c r="I401" s="32">
        <v>78.75</v>
      </c>
    </row>
    <row r="402" spans="1:9" ht="16">
      <c r="A402" s="38" t="s">
        <v>378</v>
      </c>
      <c r="H402" s="33">
        <f>H399+H400+H401</f>
        <v>218.75</v>
      </c>
      <c r="I402" s="33">
        <f>I399+I400+I401</f>
        <v>218.75</v>
      </c>
    </row>
    <row r="403" spans="1:1" ht="16">
      <c r="A403" s="39" t="s">
        <v>379</v>
      </c>
    </row>
    <row r="404" spans="2:9" ht="16" outlineLevel="1">
      <c r="B404" s="26" t="s">
        <v>334</v>
      </c>
      <c r="C404" s="31" t="s">
        <v>21</v>
      </c>
      <c r="D404" s="31" t="s">
        <v>380</v>
      </c>
      <c r="E404" s="31" t="s">
        <v>213</v>
      </c>
      <c r="F404" s="31" t="s">
        <v>6</v>
      </c>
      <c r="G404" s="31" t="s">
        <v>24</v>
      </c>
      <c r="H404" s="32">
        <v>80.0</v>
      </c>
      <c r="I404" s="31"/>
    </row>
    <row r="405" spans="2:9" ht="16" outlineLevel="1">
      <c r="B405" s="26" t="s">
        <v>334</v>
      </c>
      <c r="C405" s="31" t="s">
        <v>21</v>
      </c>
      <c r="D405" s="31" t="s">
        <v>380</v>
      </c>
      <c r="E405" s="31" t="s">
        <v>213</v>
      </c>
      <c r="F405" s="31" t="s">
        <v>25</v>
      </c>
      <c r="G405" s="31" t="s">
        <v>26</v>
      </c>
      <c r="H405" s="31"/>
      <c r="I405" s="32">
        <v>80.0</v>
      </c>
    </row>
    <row r="406" spans="1:9" ht="16">
      <c r="A406" s="38" t="s">
        <v>381</v>
      </c>
      <c r="H406" s="33">
        <f>H404+H405</f>
        <v>80.0</v>
      </c>
      <c r="I406" s="33">
        <f>I404+I405</f>
        <v>80.0</v>
      </c>
    </row>
    <row r="407" spans="1:1" ht="16">
      <c r="A407" s="39" t="s">
        <v>382</v>
      </c>
    </row>
    <row r="408" spans="2:9" ht="16" outlineLevel="1">
      <c r="B408" s="26" t="s">
        <v>334</v>
      </c>
      <c r="C408" s="31" t="s">
        <v>383</v>
      </c>
      <c r="D408" s="31" t="s">
        <v>384</v>
      </c>
      <c r="E408" s="31" t="s">
        <v>350</v>
      </c>
      <c r="F408" s="31" t="s">
        <v>6</v>
      </c>
      <c r="G408" s="31" t="s">
        <v>8</v>
      </c>
      <c r="H408" s="31"/>
      <c r="I408" s="32">
        <v>87.5</v>
      </c>
    </row>
    <row r="409" spans="2:9" ht="16" outlineLevel="1">
      <c r="B409" s="26" t="s">
        <v>334</v>
      </c>
      <c r="C409" s="31" t="s">
        <v>383</v>
      </c>
      <c r="D409" s="31" t="s">
        <v>384</v>
      </c>
      <c r="E409" s="31" t="s">
        <v>350</v>
      </c>
      <c r="F409" s="31" t="s">
        <v>385</v>
      </c>
      <c r="G409" s="31" t="s">
        <v>27</v>
      </c>
      <c r="H409" s="32">
        <v>87.5</v>
      </c>
      <c r="I409" s="31"/>
    </row>
    <row r="410" spans="1:9" ht="16">
      <c r="A410" s="38" t="s">
        <v>386</v>
      </c>
      <c r="H410" s="33">
        <f>H408+H409</f>
        <v>87.5</v>
      </c>
      <c r="I410" s="33">
        <f>I408+I409</f>
        <v>87.5</v>
      </c>
    </row>
    <row r="411" spans="1:1" ht="16">
      <c r="A411" s="39" t="s">
        <v>387</v>
      </c>
    </row>
    <row r="412" spans="2:9" ht="16" outlineLevel="1">
      <c r="B412" s="26" t="s">
        <v>334</v>
      </c>
      <c r="C412" s="31" t="s">
        <v>21</v>
      </c>
      <c r="D412" s="31" t="s">
        <v>388</v>
      </c>
      <c r="E412" s="31" t="s">
        <v>63</v>
      </c>
      <c r="F412" s="31" t="s">
        <v>6</v>
      </c>
      <c r="G412" s="31" t="s">
        <v>24</v>
      </c>
      <c r="H412" s="32">
        <v>70.0</v>
      </c>
      <c r="I412" s="31"/>
    </row>
    <row r="413" spans="2:9" ht="16" outlineLevel="1">
      <c r="B413" s="26" t="s">
        <v>334</v>
      </c>
      <c r="C413" s="31" t="s">
        <v>21</v>
      </c>
      <c r="D413" s="31" t="s">
        <v>388</v>
      </c>
      <c r="E413" s="31" t="s">
        <v>63</v>
      </c>
      <c r="F413" s="31" t="s">
        <v>27</v>
      </c>
      <c r="G413" s="31" t="s">
        <v>27</v>
      </c>
      <c r="H413" s="31"/>
      <c r="I413" s="32">
        <v>70.0</v>
      </c>
    </row>
    <row r="414" spans="1:9" ht="16">
      <c r="A414" s="38" t="s">
        <v>389</v>
      </c>
      <c r="H414" s="33">
        <f>H412+H413</f>
        <v>70.0</v>
      </c>
      <c r="I414" s="33">
        <f>I412+I413</f>
        <v>70.0</v>
      </c>
    </row>
    <row r="415" spans="1:1" ht="16">
      <c r="A415" s="39" t="s">
        <v>390</v>
      </c>
    </row>
    <row r="416" spans="2:9" ht="16" outlineLevel="1">
      <c r="B416" s="26" t="s">
        <v>334</v>
      </c>
      <c r="C416" s="31" t="s">
        <v>77</v>
      </c>
      <c r="D416" s="31" t="s">
        <v>391</v>
      </c>
      <c r="E416" s="31" t="s">
        <v>266</v>
      </c>
      <c r="F416" s="31" t="s">
        <v>6</v>
      </c>
      <c r="G416" s="31" t="s">
        <v>8</v>
      </c>
      <c r="H416" s="31"/>
      <c r="I416" s="32">
        <v>19.99</v>
      </c>
    </row>
    <row r="417" spans="2:9" ht="16" outlineLevel="1">
      <c r="B417" s="26" t="s">
        <v>334</v>
      </c>
      <c r="C417" s="31" t="s">
        <v>77</v>
      </c>
      <c r="D417" s="31" t="s">
        <v>391</v>
      </c>
      <c r="E417" s="31" t="s">
        <v>266</v>
      </c>
      <c r="F417" s="31" t="s">
        <v>6</v>
      </c>
      <c r="G417" s="31" t="s">
        <v>267</v>
      </c>
      <c r="H417" s="32">
        <v>19.99</v>
      </c>
      <c r="I417" s="31"/>
    </row>
    <row r="418" spans="1:9" ht="16">
      <c r="A418" s="38" t="s">
        <v>392</v>
      </c>
      <c r="H418" s="33">
        <f>H416+H417</f>
        <v>19.99</v>
      </c>
      <c r="I418" s="33">
        <f>I416+I417</f>
        <v>19.99</v>
      </c>
    </row>
    <row r="419" spans="1:1" ht="16">
      <c r="A419" s="39" t="s">
        <v>393</v>
      </c>
    </row>
    <row r="420" spans="2:9" ht="16" outlineLevel="1">
      <c r="B420" s="26" t="s">
        <v>394</v>
      </c>
      <c r="C420" s="31" t="s">
        <v>38</v>
      </c>
      <c r="D420" s="31" t="s">
        <v>196</v>
      </c>
      <c r="E420" s="31" t="s">
        <v>113</v>
      </c>
      <c r="F420" s="31" t="s">
        <v>6</v>
      </c>
      <c r="G420" s="31" t="s">
        <v>8</v>
      </c>
      <c r="H420" s="31"/>
      <c r="I420" s="32">
        <v>114.09</v>
      </c>
    </row>
    <row r="421" spans="2:9" ht="16" outlineLevel="1">
      <c r="B421" s="26" t="s">
        <v>394</v>
      </c>
      <c r="C421" s="31" t="s">
        <v>38</v>
      </c>
      <c r="D421" s="31" t="s">
        <v>196</v>
      </c>
      <c r="E421" s="31" t="s">
        <v>113</v>
      </c>
      <c r="F421" s="31" t="s">
        <v>6</v>
      </c>
      <c r="G421" s="31" t="s">
        <v>16</v>
      </c>
      <c r="H421" s="32">
        <v>114.09</v>
      </c>
      <c r="I421" s="31"/>
    </row>
    <row r="422" spans="1:9" ht="16">
      <c r="A422" s="38" t="s">
        <v>395</v>
      </c>
      <c r="H422" s="33">
        <f>H420+H421</f>
        <v>114.09</v>
      </c>
      <c r="I422" s="33">
        <f>I420+I421</f>
        <v>114.09</v>
      </c>
    </row>
    <row r="423" spans="1:1" ht="16">
      <c r="A423" s="39" t="s">
        <v>396</v>
      </c>
    </row>
    <row r="424" spans="2:9" ht="16" outlineLevel="1">
      <c r="B424" s="26" t="s">
        <v>394</v>
      </c>
      <c r="C424" s="31" t="s">
        <v>38</v>
      </c>
      <c r="D424" s="31" t="s">
        <v>397</v>
      </c>
      <c r="E424" s="31" t="s">
        <v>216</v>
      </c>
      <c r="F424" s="31" t="s">
        <v>6</v>
      </c>
      <c r="G424" s="31" t="s">
        <v>8</v>
      </c>
      <c r="H424" s="31"/>
      <c r="I424" s="32">
        <v>666.0</v>
      </c>
    </row>
    <row r="425" spans="2:9" ht="16" outlineLevel="1">
      <c r="B425" s="26" t="s">
        <v>394</v>
      </c>
      <c r="C425" s="31" t="s">
        <v>38</v>
      </c>
      <c r="D425" s="31" t="s">
        <v>397</v>
      </c>
      <c r="E425" s="31" t="s">
        <v>216</v>
      </c>
      <c r="F425" s="31" t="s">
        <v>6</v>
      </c>
      <c r="G425" s="31" t="s">
        <v>16</v>
      </c>
      <c r="H425" s="32">
        <v>666.0</v>
      </c>
      <c r="I425" s="31"/>
    </row>
    <row r="426" spans="1:9" ht="16">
      <c r="A426" s="38" t="s">
        <v>398</v>
      </c>
      <c r="H426" s="33">
        <f>H424+H425</f>
        <v>666.0</v>
      </c>
      <c r="I426" s="33">
        <f>I424+I425</f>
        <v>666.0</v>
      </c>
    </row>
    <row r="427" spans="1:1" ht="16">
      <c r="A427" s="39" t="s">
        <v>399</v>
      </c>
    </row>
    <row r="428" spans="2:9" ht="16" outlineLevel="1">
      <c r="B428" s="26" t="s">
        <v>394</v>
      </c>
      <c r="C428" s="31" t="s">
        <v>56</v>
      </c>
      <c r="D428" s="31" t="s">
        <v>400</v>
      </c>
      <c r="E428" s="31" t="s">
        <v>71</v>
      </c>
      <c r="F428" s="31" t="s">
        <v>6</v>
      </c>
      <c r="G428" s="31" t="s">
        <v>8</v>
      </c>
      <c r="H428" s="31"/>
      <c r="I428" s="32">
        <v>46.98</v>
      </c>
    </row>
    <row r="429" spans="2:9" ht="16" outlineLevel="1">
      <c r="B429" s="26" t="s">
        <v>394</v>
      </c>
      <c r="C429" s="31" t="s">
        <v>56</v>
      </c>
      <c r="D429" s="31" t="s">
        <v>400</v>
      </c>
      <c r="E429" s="31" t="s">
        <v>71</v>
      </c>
      <c r="F429" s="31" t="s">
        <v>6</v>
      </c>
      <c r="G429" s="31" t="s">
        <v>148</v>
      </c>
      <c r="H429" s="32">
        <v>46.98</v>
      </c>
      <c r="I429" s="31"/>
    </row>
    <row r="430" spans="1:9" ht="16">
      <c r="A430" s="38" t="s">
        <v>401</v>
      </c>
      <c r="H430" s="33">
        <f>H428+H429</f>
        <v>46.98</v>
      </c>
      <c r="I430" s="33">
        <f>I428+I429</f>
        <v>46.98</v>
      </c>
    </row>
    <row r="431" spans="1:1" ht="16">
      <c r="A431" s="39" t="s">
        <v>402</v>
      </c>
    </row>
    <row r="432" spans="2:9" ht="16" outlineLevel="1">
      <c r="B432" s="26" t="s">
        <v>394</v>
      </c>
      <c r="C432" s="31" t="s">
        <v>42</v>
      </c>
      <c r="D432" s="31" t="s">
        <v>6</v>
      </c>
      <c r="E432" s="31" t="s">
        <v>240</v>
      </c>
      <c r="F432" s="31" t="s">
        <v>6</v>
      </c>
      <c r="G432" s="31" t="s">
        <v>46</v>
      </c>
      <c r="H432" s="32">
        <v>81.0</v>
      </c>
      <c r="I432" s="31"/>
    </row>
    <row r="433" spans="2:9" ht="16" outlineLevel="1">
      <c r="B433" s="26" t="s">
        <v>394</v>
      </c>
      <c r="C433" s="31" t="s">
        <v>42</v>
      </c>
      <c r="D433" s="31" t="s">
        <v>6</v>
      </c>
      <c r="E433" s="31" t="s">
        <v>240</v>
      </c>
      <c r="F433" s="31" t="s">
        <v>6</v>
      </c>
      <c r="G433" s="31" t="s">
        <v>24</v>
      </c>
      <c r="H433" s="31"/>
      <c r="I433" s="32">
        <v>81.0</v>
      </c>
    </row>
    <row r="434" spans="1:9" ht="16">
      <c r="A434" s="38" t="s">
        <v>403</v>
      </c>
      <c r="H434" s="33">
        <f>H432+H433</f>
        <v>81.0</v>
      </c>
      <c r="I434" s="33">
        <f>I432+I433</f>
        <v>81.0</v>
      </c>
    </row>
    <row r="435" spans="1:1" ht="16">
      <c r="A435" s="39" t="s">
        <v>404</v>
      </c>
    </row>
    <row r="436" spans="2:9" ht="16" outlineLevel="1">
      <c r="B436" s="26" t="s">
        <v>394</v>
      </c>
      <c r="C436" s="31" t="s">
        <v>42</v>
      </c>
      <c r="D436" s="31" t="s">
        <v>6</v>
      </c>
      <c r="E436" s="31" t="s">
        <v>89</v>
      </c>
      <c r="F436" s="31" t="s">
        <v>6</v>
      </c>
      <c r="G436" s="31" t="s">
        <v>46</v>
      </c>
      <c r="H436" s="32">
        <v>220.0</v>
      </c>
      <c r="I436" s="31"/>
    </row>
    <row r="437" spans="2:9" ht="16" outlineLevel="1">
      <c r="B437" s="26" t="s">
        <v>394</v>
      </c>
      <c r="C437" s="31" t="s">
        <v>42</v>
      </c>
      <c r="D437" s="31" t="s">
        <v>6</v>
      </c>
      <c r="E437" s="31" t="s">
        <v>89</v>
      </c>
      <c r="F437" s="31" t="s">
        <v>6</v>
      </c>
      <c r="G437" s="31" t="s">
        <v>24</v>
      </c>
      <c r="H437" s="31"/>
      <c r="I437" s="32">
        <v>220.0</v>
      </c>
    </row>
    <row r="438" spans="1:9" ht="16">
      <c r="A438" s="38" t="s">
        <v>405</v>
      </c>
      <c r="H438" s="33">
        <f>H436+H437</f>
        <v>220.0</v>
      </c>
      <c r="I438" s="33">
        <f>I436+I437</f>
        <v>220.0</v>
      </c>
    </row>
    <row r="439" spans="1:1" ht="16">
      <c r="A439" s="39" t="s">
        <v>406</v>
      </c>
    </row>
    <row r="440" spans="2:9" ht="16" outlineLevel="1">
      <c r="B440" s="26" t="s">
        <v>394</v>
      </c>
      <c r="C440" s="31" t="s">
        <v>5</v>
      </c>
      <c r="D440" s="31" t="s">
        <v>6</v>
      </c>
      <c r="E440" s="31" t="s">
        <v>6</v>
      </c>
      <c r="F440" s="31" t="s">
        <v>6</v>
      </c>
      <c r="G440" s="31" t="s">
        <v>8</v>
      </c>
      <c r="H440" s="32">
        <v>408.0</v>
      </c>
      <c r="I440" s="31"/>
    </row>
    <row r="441" spans="2:9" ht="16" outlineLevel="1">
      <c r="B441" s="26" t="s">
        <v>394</v>
      </c>
      <c r="C441" s="31" t="s">
        <v>5</v>
      </c>
      <c r="D441" s="31" t="s">
        <v>6</v>
      </c>
      <c r="E441" s="31" t="s">
        <v>6</v>
      </c>
      <c r="F441" s="31" t="s">
        <v>6</v>
      </c>
      <c r="G441" s="31" t="s">
        <v>46</v>
      </c>
      <c r="H441" s="31"/>
      <c r="I441" s="32">
        <v>108.0</v>
      </c>
    </row>
    <row r="442" spans="2:9" ht="16" outlineLevel="1">
      <c r="B442" s="26" t="s">
        <v>394</v>
      </c>
      <c r="C442" s="31" t="s">
        <v>5</v>
      </c>
      <c r="D442" s="31" t="s">
        <v>6</v>
      </c>
      <c r="E442" s="31" t="s">
        <v>6</v>
      </c>
      <c r="F442" s="31" t="s">
        <v>6</v>
      </c>
      <c r="G442" s="31" t="s">
        <v>46</v>
      </c>
      <c r="H442" s="31"/>
      <c r="I442" s="32">
        <v>300.0</v>
      </c>
    </row>
    <row r="443" spans="1:9" ht="16">
      <c r="A443" s="38" t="s">
        <v>407</v>
      </c>
      <c r="H443" s="33">
        <f>H440+H441+H442</f>
        <v>408.0</v>
      </c>
      <c r="I443" s="33">
        <f>I440+I441+I442</f>
        <v>408.0</v>
      </c>
    </row>
    <row r="444" spans="1:1" ht="16">
      <c r="A444" s="39" t="s">
        <v>408</v>
      </c>
    </row>
    <row r="445" spans="2:9" ht="16" outlineLevel="1">
      <c r="B445" s="26" t="s">
        <v>394</v>
      </c>
      <c r="C445" s="31" t="s">
        <v>21</v>
      </c>
      <c r="D445" s="31" t="s">
        <v>409</v>
      </c>
      <c r="E445" s="31" t="s">
        <v>410</v>
      </c>
      <c r="F445" s="31" t="s">
        <v>6</v>
      </c>
      <c r="G445" s="31" t="s">
        <v>24</v>
      </c>
      <c r="H445" s="32">
        <v>629.1</v>
      </c>
      <c r="I445" s="31"/>
    </row>
    <row r="446" spans="2:9" ht="16" outlineLevel="1">
      <c r="B446" s="26" t="s">
        <v>394</v>
      </c>
      <c r="C446" s="31" t="s">
        <v>21</v>
      </c>
      <c r="D446" s="31" t="s">
        <v>409</v>
      </c>
      <c r="E446" s="31" t="s">
        <v>410</v>
      </c>
      <c r="F446" s="31" t="s">
        <v>51</v>
      </c>
      <c r="G446" s="31" t="s">
        <v>52</v>
      </c>
      <c r="H446" s="31"/>
      <c r="I446" s="32">
        <v>275.0</v>
      </c>
    </row>
    <row r="447" spans="2:9" ht="16" outlineLevel="1">
      <c r="B447" s="26" t="s">
        <v>394</v>
      </c>
      <c r="C447" s="31" t="s">
        <v>21</v>
      </c>
      <c r="D447" s="31" t="s">
        <v>409</v>
      </c>
      <c r="E447" s="31" t="s">
        <v>410</v>
      </c>
      <c r="F447" s="31" t="s">
        <v>159</v>
      </c>
      <c r="G447" s="31" t="s">
        <v>160</v>
      </c>
      <c r="H447" s="31"/>
      <c r="I447" s="32">
        <v>262.5</v>
      </c>
    </row>
    <row r="448" spans="2:9" ht="16" outlineLevel="1">
      <c r="B448" s="26" t="s">
        <v>394</v>
      </c>
      <c r="C448" s="31" t="s">
        <v>21</v>
      </c>
      <c r="D448" s="31" t="s">
        <v>409</v>
      </c>
      <c r="E448" s="31" t="s">
        <v>410</v>
      </c>
      <c r="F448" s="31" t="s">
        <v>411</v>
      </c>
      <c r="G448" s="31" t="s">
        <v>52</v>
      </c>
      <c r="H448" s="31"/>
      <c r="I448" s="32">
        <v>45.0</v>
      </c>
    </row>
    <row r="449" spans="2:9" ht="16" outlineLevel="1">
      <c r="B449" s="26" t="s">
        <v>394</v>
      </c>
      <c r="C449" s="31" t="s">
        <v>21</v>
      </c>
      <c r="D449" s="31" t="s">
        <v>409</v>
      </c>
      <c r="E449" s="31" t="s">
        <v>410</v>
      </c>
      <c r="F449" s="31" t="s">
        <v>6</v>
      </c>
      <c r="G449" s="31" t="s">
        <v>34</v>
      </c>
      <c r="H449" s="31"/>
      <c r="I449" s="32">
        <v>46.6</v>
      </c>
    </row>
    <row r="450" spans="1:9" ht="16">
      <c r="A450" s="38" t="s">
        <v>412</v>
      </c>
      <c r="H450" s="33">
        <f>H445+H446+H447+H448+H449</f>
        <v>629.1</v>
      </c>
      <c r="I450" s="33">
        <f>I445+I446+I447+I448+I449</f>
        <v>629.1</v>
      </c>
    </row>
    <row r="451" spans="1:1" ht="16">
      <c r="A451" s="39" t="s">
        <v>413</v>
      </c>
    </row>
    <row r="452" spans="2:9" ht="16" outlineLevel="1">
      <c r="B452" s="26" t="s">
        <v>394</v>
      </c>
      <c r="C452" s="31" t="s">
        <v>21</v>
      </c>
      <c r="D452" s="31" t="s">
        <v>414</v>
      </c>
      <c r="E452" s="31" t="s">
        <v>415</v>
      </c>
      <c r="F452" s="31" t="s">
        <v>6</v>
      </c>
      <c r="G452" s="31" t="s">
        <v>24</v>
      </c>
      <c r="H452" s="32">
        <v>78.6</v>
      </c>
      <c r="I452" s="31"/>
    </row>
    <row r="453" spans="2:9" ht="16" outlineLevel="1">
      <c r="B453" s="26" t="s">
        <v>394</v>
      </c>
      <c r="C453" s="31" t="s">
        <v>21</v>
      </c>
      <c r="D453" s="31" t="s">
        <v>414</v>
      </c>
      <c r="E453" s="31" t="s">
        <v>415</v>
      </c>
      <c r="F453" s="31" t="s">
        <v>416</v>
      </c>
      <c r="G453" s="31" t="s">
        <v>26</v>
      </c>
      <c r="H453" s="31"/>
      <c r="I453" s="32">
        <v>30.0</v>
      </c>
    </row>
    <row r="454" spans="2:9" ht="16" outlineLevel="1">
      <c r="B454" s="26" t="s">
        <v>394</v>
      </c>
      <c r="C454" s="31" t="s">
        <v>21</v>
      </c>
      <c r="D454" s="31" t="s">
        <v>414</v>
      </c>
      <c r="E454" s="31" t="s">
        <v>415</v>
      </c>
      <c r="F454" s="31" t="s">
        <v>417</v>
      </c>
      <c r="G454" s="31" t="s">
        <v>52</v>
      </c>
      <c r="H454" s="31"/>
      <c r="I454" s="32">
        <v>45.0</v>
      </c>
    </row>
    <row r="455" spans="2:9" ht="16" outlineLevel="1">
      <c r="B455" s="26" t="s">
        <v>394</v>
      </c>
      <c r="C455" s="31" t="s">
        <v>21</v>
      </c>
      <c r="D455" s="31" t="s">
        <v>414</v>
      </c>
      <c r="E455" s="31" t="s">
        <v>415</v>
      </c>
      <c r="F455" s="31" t="s">
        <v>6</v>
      </c>
      <c r="G455" s="31" t="s">
        <v>34</v>
      </c>
      <c r="H455" s="31"/>
      <c r="I455" s="32">
        <v>3.6</v>
      </c>
    </row>
    <row r="456" spans="1:9" ht="16">
      <c r="A456" s="38" t="s">
        <v>418</v>
      </c>
      <c r="H456" s="33">
        <f>H452+H453+H454+H455</f>
        <v>78.6</v>
      </c>
      <c r="I456" s="33">
        <f>I452+I453+I454+I455</f>
        <v>78.6</v>
      </c>
    </row>
    <row r="457" spans="1:1" ht="16">
      <c r="A457" s="39" t="s">
        <v>419</v>
      </c>
    </row>
    <row r="458" spans="2:9" ht="16" outlineLevel="1">
      <c r="B458" s="26" t="s">
        <v>394</v>
      </c>
      <c r="C458" s="31" t="s">
        <v>261</v>
      </c>
      <c r="D458" s="31" t="s">
        <v>6</v>
      </c>
      <c r="E458" s="31" t="s">
        <v>78</v>
      </c>
      <c r="F458" s="31" t="s">
        <v>6</v>
      </c>
      <c r="G458" s="31" t="s">
        <v>8</v>
      </c>
      <c r="H458" s="31"/>
      <c r="I458" s="32">
        <v>63.15</v>
      </c>
    </row>
    <row r="459" spans="2:9" ht="16" outlineLevel="1">
      <c r="B459" s="26" t="s">
        <v>394</v>
      </c>
      <c r="C459" s="31" t="s">
        <v>261</v>
      </c>
      <c r="D459" s="31" t="s">
        <v>6</v>
      </c>
      <c r="E459" s="31" t="s">
        <v>78</v>
      </c>
      <c r="F459" s="31" t="s">
        <v>6</v>
      </c>
      <c r="G459" s="31" t="s">
        <v>79</v>
      </c>
      <c r="H459" s="32">
        <v>63.15</v>
      </c>
      <c r="I459" s="31"/>
    </row>
    <row r="460" spans="1:9" ht="16">
      <c r="A460" s="38" t="s">
        <v>420</v>
      </c>
      <c r="H460" s="33">
        <f>H458+H459</f>
        <v>63.15</v>
      </c>
      <c r="I460" s="33">
        <f>I458+I459</f>
        <v>63.15</v>
      </c>
    </row>
    <row r="461" spans="1:1" ht="16">
      <c r="A461" s="39" t="s">
        <v>400</v>
      </c>
    </row>
    <row r="462" spans="2:9" ht="16" outlineLevel="1">
      <c r="B462" s="26" t="s">
        <v>421</v>
      </c>
      <c r="C462" s="31" t="s">
        <v>13</v>
      </c>
      <c r="D462" s="31" t="s">
        <v>6</v>
      </c>
      <c r="E462" s="31" t="s">
        <v>14</v>
      </c>
      <c r="F462" s="31" t="s">
        <v>6</v>
      </c>
      <c r="G462" s="31" t="s">
        <v>16</v>
      </c>
      <c r="H462" s="31"/>
      <c r="I462" s="32">
        <v>315.0</v>
      </c>
    </row>
    <row r="463" spans="2:9" ht="16" outlineLevel="1">
      <c r="B463" s="26" t="s">
        <v>421</v>
      </c>
      <c r="C463" s="31" t="s">
        <v>13</v>
      </c>
      <c r="D463" s="31" t="s">
        <v>6</v>
      </c>
      <c r="E463" s="31" t="s">
        <v>14</v>
      </c>
      <c r="F463" s="31" t="s">
        <v>6</v>
      </c>
      <c r="G463" s="31" t="s">
        <v>58</v>
      </c>
      <c r="H463" s="32">
        <v>315.0</v>
      </c>
      <c r="I463" s="31"/>
    </row>
    <row r="464" spans="1:9" ht="16">
      <c r="A464" s="38" t="s">
        <v>422</v>
      </c>
      <c r="H464" s="33">
        <f>H462+H463</f>
        <v>315.0</v>
      </c>
      <c r="I464" s="33">
        <f>I462+I463</f>
        <v>315.0</v>
      </c>
    </row>
    <row r="465" spans="1:1" ht="16">
      <c r="A465" s="39" t="s">
        <v>423</v>
      </c>
    </row>
    <row r="466" spans="2:9" ht="16" outlineLevel="1">
      <c r="B466" s="26" t="s">
        <v>421</v>
      </c>
      <c r="C466" s="31" t="s">
        <v>424</v>
      </c>
      <c r="D466" s="31" t="s">
        <v>425</v>
      </c>
      <c r="E466" s="31" t="s">
        <v>6</v>
      </c>
      <c r="F466" s="31" t="s">
        <v>426</v>
      </c>
      <c r="G466" s="31" t="s">
        <v>9</v>
      </c>
      <c r="H466" s="31"/>
      <c r="I466" s="31"/>
    </row>
    <row r="467" spans="2:9" ht="16" outlineLevel="1">
      <c r="B467" s="26" t="s">
        <v>421</v>
      </c>
      <c r="C467" s="31" t="s">
        <v>424</v>
      </c>
      <c r="D467" s="31" t="s">
        <v>425</v>
      </c>
      <c r="E467" s="31" t="s">
        <v>6</v>
      </c>
      <c r="F467" s="31" t="s">
        <v>426</v>
      </c>
      <c r="G467" s="31" t="s">
        <v>427</v>
      </c>
      <c r="H467" s="31"/>
      <c r="I467" s="31"/>
    </row>
    <row r="468" spans="2:9" ht="16" outlineLevel="1">
      <c r="B468" s="26" t="s">
        <v>421</v>
      </c>
      <c r="C468" s="31" t="s">
        <v>424</v>
      </c>
      <c r="D468" s="31" t="s">
        <v>425</v>
      </c>
      <c r="E468" s="31" t="s">
        <v>6</v>
      </c>
      <c r="F468" s="31" t="s">
        <v>426</v>
      </c>
      <c r="G468" s="31" t="s">
        <v>427</v>
      </c>
      <c r="H468" s="32">
        <v>160.0</v>
      </c>
      <c r="I468" s="31"/>
    </row>
    <row r="469" spans="2:9" ht="16" outlineLevel="1">
      <c r="B469" s="26" t="s">
        <v>421</v>
      </c>
      <c r="C469" s="31" t="s">
        <v>424</v>
      </c>
      <c r="D469" s="31" t="s">
        <v>425</v>
      </c>
      <c r="E469" s="31" t="s">
        <v>6</v>
      </c>
      <c r="F469" s="31" t="s">
        <v>426</v>
      </c>
      <c r="G469" s="31" t="s">
        <v>9</v>
      </c>
      <c r="H469" s="31"/>
      <c r="I469" s="32">
        <v>160.0</v>
      </c>
    </row>
    <row r="470" spans="1:9" ht="16">
      <c r="A470" s="38" t="s">
        <v>428</v>
      </c>
      <c r="H470" s="33">
        <f>H466+H467+H468+H469</f>
        <v>160.0</v>
      </c>
      <c r="I470" s="33">
        <f>I466+I467+I468+I469</f>
        <v>160.0</v>
      </c>
    </row>
    <row r="471" spans="1:1" ht="16">
      <c r="A471" s="39" t="s">
        <v>429</v>
      </c>
    </row>
    <row r="472" spans="2:9" ht="16" outlineLevel="1">
      <c r="B472" s="26" t="s">
        <v>421</v>
      </c>
      <c r="C472" s="31" t="s">
        <v>424</v>
      </c>
      <c r="D472" s="31" t="s">
        <v>425</v>
      </c>
      <c r="E472" s="31" t="s">
        <v>6</v>
      </c>
      <c r="F472" s="31" t="s">
        <v>430</v>
      </c>
      <c r="G472" s="31" t="s">
        <v>9</v>
      </c>
      <c r="H472" s="31"/>
      <c r="I472" s="31"/>
    </row>
    <row r="473" spans="2:9" ht="16" outlineLevel="1">
      <c r="B473" s="26" t="s">
        <v>421</v>
      </c>
      <c r="C473" s="31" t="s">
        <v>424</v>
      </c>
      <c r="D473" s="31" t="s">
        <v>425</v>
      </c>
      <c r="E473" s="31" t="s">
        <v>6</v>
      </c>
      <c r="F473" s="31" t="s">
        <v>430</v>
      </c>
      <c r="G473" s="31" t="s">
        <v>427</v>
      </c>
      <c r="H473" s="31"/>
      <c r="I473" s="31"/>
    </row>
    <row r="474" spans="2:9" ht="16" outlineLevel="1">
      <c r="B474" s="26" t="s">
        <v>421</v>
      </c>
      <c r="C474" s="31" t="s">
        <v>424</v>
      </c>
      <c r="D474" s="31" t="s">
        <v>425</v>
      </c>
      <c r="E474" s="31" t="s">
        <v>6</v>
      </c>
      <c r="F474" s="31" t="s">
        <v>430</v>
      </c>
      <c r="G474" s="31" t="s">
        <v>427</v>
      </c>
      <c r="H474" s="32">
        <v>7.5</v>
      </c>
      <c r="I474" s="31"/>
    </row>
    <row r="475" spans="2:9" ht="16" outlineLevel="1">
      <c r="B475" s="26" t="s">
        <v>421</v>
      </c>
      <c r="C475" s="31" t="s">
        <v>424</v>
      </c>
      <c r="D475" s="31" t="s">
        <v>425</v>
      </c>
      <c r="E475" s="31" t="s">
        <v>6</v>
      </c>
      <c r="F475" s="31" t="s">
        <v>430</v>
      </c>
      <c r="G475" s="31" t="s">
        <v>9</v>
      </c>
      <c r="H475" s="31"/>
      <c r="I475" s="32">
        <v>7.5</v>
      </c>
    </row>
    <row r="476" spans="1:9" ht="16">
      <c r="A476" s="38" t="s">
        <v>431</v>
      </c>
      <c r="H476" s="33">
        <f>H472+H473+H474+H475</f>
        <v>7.5</v>
      </c>
      <c r="I476" s="33">
        <f>I472+I473+I474+I475</f>
        <v>7.5</v>
      </c>
    </row>
    <row r="477" spans="1:1" ht="16">
      <c r="A477" s="39" t="s">
        <v>432</v>
      </c>
    </row>
    <row r="478" spans="2:9" ht="16" outlineLevel="1">
      <c r="B478" s="26" t="s">
        <v>421</v>
      </c>
      <c r="C478" s="31" t="s">
        <v>424</v>
      </c>
      <c r="D478" s="31" t="s">
        <v>425</v>
      </c>
      <c r="E478" s="31" t="s">
        <v>6</v>
      </c>
      <c r="F478" s="31" t="s">
        <v>433</v>
      </c>
      <c r="G478" s="31" t="s">
        <v>9</v>
      </c>
      <c r="H478" s="31"/>
      <c r="I478" s="31"/>
    </row>
    <row r="479" spans="2:9" ht="16" outlineLevel="1">
      <c r="B479" s="26" t="s">
        <v>421</v>
      </c>
      <c r="C479" s="31" t="s">
        <v>424</v>
      </c>
      <c r="D479" s="31" t="s">
        <v>425</v>
      </c>
      <c r="E479" s="31" t="s">
        <v>6</v>
      </c>
      <c r="F479" s="31" t="s">
        <v>433</v>
      </c>
      <c r="G479" s="31" t="s">
        <v>427</v>
      </c>
      <c r="H479" s="31"/>
      <c r="I479" s="31"/>
    </row>
    <row r="480" spans="2:9" ht="16" outlineLevel="1">
      <c r="B480" s="26" t="s">
        <v>421</v>
      </c>
      <c r="C480" s="31" t="s">
        <v>424</v>
      </c>
      <c r="D480" s="31" t="s">
        <v>425</v>
      </c>
      <c r="E480" s="31" t="s">
        <v>6</v>
      </c>
      <c r="F480" s="31" t="s">
        <v>433</v>
      </c>
      <c r="G480" s="31" t="s">
        <v>427</v>
      </c>
      <c r="H480" s="32">
        <v>25.0</v>
      </c>
      <c r="I480" s="31"/>
    </row>
    <row r="481" spans="2:9" ht="16" outlineLevel="1">
      <c r="B481" s="26" t="s">
        <v>421</v>
      </c>
      <c r="C481" s="31" t="s">
        <v>424</v>
      </c>
      <c r="D481" s="31" t="s">
        <v>425</v>
      </c>
      <c r="E481" s="31" t="s">
        <v>6</v>
      </c>
      <c r="F481" s="31" t="s">
        <v>433</v>
      </c>
      <c r="G481" s="31" t="s">
        <v>9</v>
      </c>
      <c r="H481" s="31"/>
      <c r="I481" s="32">
        <v>25.0</v>
      </c>
    </row>
    <row r="482" spans="1:9" ht="16">
      <c r="A482" s="38" t="s">
        <v>434</v>
      </c>
      <c r="H482" s="33">
        <f>H478+H479+H480+H481</f>
        <v>25.0</v>
      </c>
      <c r="I482" s="33">
        <f>I478+I479+I480+I481</f>
        <v>25.0</v>
      </c>
    </row>
    <row r="483" spans="1:1" ht="16">
      <c r="A483" s="39" t="s">
        <v>435</v>
      </c>
    </row>
    <row r="484" spans="2:9" ht="16" outlineLevel="1">
      <c r="B484" s="26" t="s">
        <v>421</v>
      </c>
      <c r="C484" s="31" t="s">
        <v>424</v>
      </c>
      <c r="D484" s="31" t="s">
        <v>425</v>
      </c>
      <c r="E484" s="31" t="s">
        <v>6</v>
      </c>
      <c r="F484" s="31" t="s">
        <v>436</v>
      </c>
      <c r="G484" s="31" t="s">
        <v>9</v>
      </c>
      <c r="H484" s="31"/>
      <c r="I484" s="31"/>
    </row>
    <row r="485" spans="2:9" ht="16" outlineLevel="1">
      <c r="B485" s="26" t="s">
        <v>421</v>
      </c>
      <c r="C485" s="31" t="s">
        <v>424</v>
      </c>
      <c r="D485" s="31" t="s">
        <v>425</v>
      </c>
      <c r="E485" s="31" t="s">
        <v>6</v>
      </c>
      <c r="F485" s="31" t="s">
        <v>436</v>
      </c>
      <c r="G485" s="31" t="s">
        <v>427</v>
      </c>
      <c r="H485" s="31"/>
      <c r="I485" s="31"/>
    </row>
    <row r="486" spans="2:9" ht="16" outlineLevel="1">
      <c r="B486" s="26" t="s">
        <v>421</v>
      </c>
      <c r="C486" s="31" t="s">
        <v>424</v>
      </c>
      <c r="D486" s="31" t="s">
        <v>425</v>
      </c>
      <c r="E486" s="31" t="s">
        <v>6</v>
      </c>
      <c r="F486" s="31" t="s">
        <v>436</v>
      </c>
      <c r="G486" s="31" t="s">
        <v>427</v>
      </c>
      <c r="H486" s="32">
        <v>375.0</v>
      </c>
      <c r="I486" s="31"/>
    </row>
    <row r="487" spans="2:9" ht="16" outlineLevel="1">
      <c r="B487" s="26" t="s">
        <v>421</v>
      </c>
      <c r="C487" s="31" t="s">
        <v>424</v>
      </c>
      <c r="D487" s="31" t="s">
        <v>425</v>
      </c>
      <c r="E487" s="31" t="s">
        <v>6</v>
      </c>
      <c r="F487" s="31" t="s">
        <v>436</v>
      </c>
      <c r="G487" s="31" t="s">
        <v>9</v>
      </c>
      <c r="H487" s="31"/>
      <c r="I487" s="32">
        <v>375.0</v>
      </c>
    </row>
    <row r="488" spans="1:9" ht="16">
      <c r="A488" s="38" t="s">
        <v>437</v>
      </c>
      <c r="H488" s="33">
        <f>H484+H485+H486+H487</f>
        <v>375.0</v>
      </c>
      <c r="I488" s="33">
        <f>I484+I485+I486+I487</f>
        <v>375.0</v>
      </c>
    </row>
    <row r="489" spans="1:1" ht="16">
      <c r="A489" s="39" t="s">
        <v>438</v>
      </c>
    </row>
    <row r="490" spans="2:9" ht="16" outlineLevel="1">
      <c r="B490" s="26" t="s">
        <v>421</v>
      </c>
      <c r="C490" s="31" t="s">
        <v>77</v>
      </c>
      <c r="D490" s="31" t="s">
        <v>93</v>
      </c>
      <c r="E490" s="31" t="s">
        <v>138</v>
      </c>
      <c r="F490" s="31" t="s">
        <v>6</v>
      </c>
      <c r="G490" s="31" t="s">
        <v>8</v>
      </c>
      <c r="H490" s="31"/>
      <c r="I490" s="32">
        <v>228.75</v>
      </c>
    </row>
    <row r="491" spans="2:9" ht="16" outlineLevel="1">
      <c r="B491" s="26" t="s">
        <v>421</v>
      </c>
      <c r="C491" s="31" t="s">
        <v>77</v>
      </c>
      <c r="D491" s="31" t="s">
        <v>93</v>
      </c>
      <c r="E491" s="31" t="s">
        <v>138</v>
      </c>
      <c r="F491" s="31" t="s">
        <v>51</v>
      </c>
      <c r="G491" s="31" t="s">
        <v>427</v>
      </c>
      <c r="H491" s="32">
        <v>125.0</v>
      </c>
      <c r="I491" s="31"/>
    </row>
    <row r="492" spans="2:9" ht="16" outlineLevel="1">
      <c r="B492" s="26" t="s">
        <v>421</v>
      </c>
      <c r="C492" s="31" t="s">
        <v>77</v>
      </c>
      <c r="D492" s="31" t="s">
        <v>93</v>
      </c>
      <c r="E492" s="31" t="s">
        <v>138</v>
      </c>
      <c r="F492" s="31" t="s">
        <v>227</v>
      </c>
      <c r="G492" s="31" t="s">
        <v>427</v>
      </c>
      <c r="H492" s="32">
        <v>11.25</v>
      </c>
      <c r="I492" s="31"/>
    </row>
    <row r="493" spans="2:9" ht="16" outlineLevel="1">
      <c r="B493" s="26" t="s">
        <v>421</v>
      </c>
      <c r="C493" s="31" t="s">
        <v>77</v>
      </c>
      <c r="D493" s="31" t="s">
        <v>93</v>
      </c>
      <c r="E493" s="31" t="s">
        <v>138</v>
      </c>
      <c r="F493" s="31" t="s">
        <v>64</v>
      </c>
      <c r="G493" s="31" t="s">
        <v>427</v>
      </c>
      <c r="H493" s="32">
        <v>62.5</v>
      </c>
      <c r="I493" s="31"/>
    </row>
    <row r="494" spans="2:9" ht="16" outlineLevel="1">
      <c r="B494" s="26" t="s">
        <v>421</v>
      </c>
      <c r="C494" s="31" t="s">
        <v>77</v>
      </c>
      <c r="D494" s="31" t="s">
        <v>93</v>
      </c>
      <c r="E494" s="31" t="s">
        <v>138</v>
      </c>
      <c r="F494" s="31" t="s">
        <v>411</v>
      </c>
      <c r="G494" s="31" t="s">
        <v>427</v>
      </c>
      <c r="H494" s="32">
        <v>30.0</v>
      </c>
      <c r="I494" s="31"/>
    </row>
    <row r="495" spans="1:9" ht="16">
      <c r="A495" s="38" t="s">
        <v>439</v>
      </c>
      <c r="H495" s="33">
        <f>H490+H491+H492+H493+H494</f>
        <v>228.75</v>
      </c>
      <c r="I495" s="33">
        <f>I490+I491+I492+I493+I494</f>
        <v>228.75</v>
      </c>
    </row>
    <row r="496" spans="1:1" ht="16">
      <c r="A496" s="39" t="s">
        <v>440</v>
      </c>
    </row>
    <row r="497" spans="2:9" ht="16" outlineLevel="1">
      <c r="B497" s="26" t="s">
        <v>421</v>
      </c>
      <c r="C497" s="31" t="s">
        <v>366</v>
      </c>
      <c r="D497" s="31" t="s">
        <v>219</v>
      </c>
      <c r="E497" s="31" t="s">
        <v>108</v>
      </c>
      <c r="F497" s="31" t="s">
        <v>6</v>
      </c>
      <c r="G497" s="31" t="s">
        <v>72</v>
      </c>
      <c r="H497" s="31"/>
      <c r="I497" s="32">
        <v>56.5</v>
      </c>
    </row>
    <row r="498" spans="2:9" ht="16" outlineLevel="1">
      <c r="B498" s="26" t="s">
        <v>421</v>
      </c>
      <c r="C498" s="31" t="s">
        <v>366</v>
      </c>
      <c r="D498" s="31" t="s">
        <v>219</v>
      </c>
      <c r="E498" s="31" t="s">
        <v>108</v>
      </c>
      <c r="F498" s="31" t="s">
        <v>6</v>
      </c>
      <c r="G498" s="31" t="s">
        <v>16</v>
      </c>
      <c r="H498" s="32">
        <v>56.5</v>
      </c>
      <c r="I498" s="31"/>
    </row>
    <row r="499" spans="1:9" ht="16">
      <c r="A499" s="38" t="s">
        <v>441</v>
      </c>
      <c r="H499" s="33">
        <f>H497+H498</f>
        <v>56.5</v>
      </c>
      <c r="I499" s="33">
        <f>I497+I498</f>
        <v>56.5</v>
      </c>
    </row>
    <row r="500" spans="1:1" ht="16">
      <c r="A500" s="39" t="s">
        <v>442</v>
      </c>
    </row>
    <row r="501" spans="2:9" ht="16" outlineLevel="1">
      <c r="B501" s="26" t="s">
        <v>421</v>
      </c>
      <c r="C501" s="31" t="s">
        <v>366</v>
      </c>
      <c r="D501" s="31" t="s">
        <v>219</v>
      </c>
      <c r="E501" s="31" t="s">
        <v>324</v>
      </c>
      <c r="F501" s="31" t="s">
        <v>6</v>
      </c>
      <c r="G501" s="31" t="s">
        <v>72</v>
      </c>
      <c r="H501" s="31"/>
      <c r="I501" s="32">
        <v>103.55</v>
      </c>
    </row>
    <row r="502" spans="2:9" ht="16" outlineLevel="1">
      <c r="B502" s="26" t="s">
        <v>421</v>
      </c>
      <c r="C502" s="31" t="s">
        <v>366</v>
      </c>
      <c r="D502" s="31" t="s">
        <v>219</v>
      </c>
      <c r="E502" s="31" t="s">
        <v>324</v>
      </c>
      <c r="F502" s="31" t="s">
        <v>6</v>
      </c>
      <c r="G502" s="31" t="s">
        <v>16</v>
      </c>
      <c r="H502" s="32">
        <v>103.55</v>
      </c>
      <c r="I502" s="31"/>
    </row>
    <row r="503" spans="1:9" ht="16">
      <c r="A503" s="38" t="s">
        <v>443</v>
      </c>
      <c r="H503" s="33">
        <f>H501+H502</f>
        <v>103.55</v>
      </c>
      <c r="I503" s="33">
        <f>I501+I502</f>
        <v>103.55</v>
      </c>
    </row>
    <row r="504" spans="1:1" ht="16">
      <c r="A504" s="39" t="s">
        <v>444</v>
      </c>
    </row>
    <row r="505" spans="2:9" ht="16" outlineLevel="1">
      <c r="B505" s="26" t="s">
        <v>421</v>
      </c>
      <c r="C505" s="31" t="s">
        <v>21</v>
      </c>
      <c r="D505" s="31" t="s">
        <v>445</v>
      </c>
      <c r="E505" s="31" t="s">
        <v>446</v>
      </c>
      <c r="F505" s="31" t="s">
        <v>6</v>
      </c>
      <c r="G505" s="31" t="s">
        <v>24</v>
      </c>
      <c r="H505" s="32">
        <v>314.28</v>
      </c>
      <c r="I505" s="31"/>
    </row>
    <row r="506" spans="2:9" ht="16" outlineLevel="1">
      <c r="B506" s="26" t="s">
        <v>421</v>
      </c>
      <c r="C506" s="31" t="s">
        <v>21</v>
      </c>
      <c r="D506" s="31" t="s">
        <v>445</v>
      </c>
      <c r="E506" s="31" t="s">
        <v>446</v>
      </c>
      <c r="F506" s="31" t="s">
        <v>51</v>
      </c>
      <c r="G506" s="31" t="s">
        <v>234</v>
      </c>
      <c r="H506" s="31"/>
      <c r="I506" s="32">
        <v>275.0</v>
      </c>
    </row>
    <row r="507" spans="2:9" ht="16" outlineLevel="1">
      <c r="B507" s="26" t="s">
        <v>421</v>
      </c>
      <c r="C507" s="31" t="s">
        <v>21</v>
      </c>
      <c r="D507" s="31" t="s">
        <v>445</v>
      </c>
      <c r="E507" s="31" t="s">
        <v>446</v>
      </c>
      <c r="F507" s="31" t="s">
        <v>51</v>
      </c>
      <c r="G507" s="31" t="s">
        <v>427</v>
      </c>
      <c r="H507" s="31"/>
      <c r="I507" s="32">
        <v>125.0</v>
      </c>
    </row>
    <row r="508" spans="2:9" ht="16" outlineLevel="1">
      <c r="B508" s="26" t="s">
        <v>421</v>
      </c>
      <c r="C508" s="31" t="s">
        <v>21</v>
      </c>
      <c r="D508" s="31" t="s">
        <v>445</v>
      </c>
      <c r="E508" s="31" t="s">
        <v>446</v>
      </c>
      <c r="F508" s="31" t="s">
        <v>51</v>
      </c>
      <c r="G508" s="31" t="s">
        <v>447</v>
      </c>
      <c r="H508" s="32">
        <v>125.0</v>
      </c>
      <c r="I508" s="31"/>
    </row>
    <row r="509" spans="2:9" ht="16" outlineLevel="1">
      <c r="B509" s="26" t="s">
        <v>421</v>
      </c>
      <c r="C509" s="31" t="s">
        <v>21</v>
      </c>
      <c r="D509" s="31" t="s">
        <v>445</v>
      </c>
      <c r="E509" s="31" t="s">
        <v>446</v>
      </c>
      <c r="F509" s="31" t="s">
        <v>64</v>
      </c>
      <c r="G509" s="31" t="s">
        <v>234</v>
      </c>
      <c r="H509" s="31"/>
      <c r="I509" s="32">
        <v>16.0</v>
      </c>
    </row>
    <row r="510" spans="2:9" ht="16" outlineLevel="1">
      <c r="B510" s="26" t="s">
        <v>421</v>
      </c>
      <c r="C510" s="31" t="s">
        <v>21</v>
      </c>
      <c r="D510" s="31" t="s">
        <v>445</v>
      </c>
      <c r="E510" s="31" t="s">
        <v>446</v>
      </c>
      <c r="F510" s="31" t="s">
        <v>64</v>
      </c>
      <c r="G510" s="31" t="s">
        <v>427</v>
      </c>
      <c r="H510" s="31"/>
      <c r="I510" s="32">
        <v>10.0</v>
      </c>
    </row>
    <row r="511" spans="2:9" ht="16" outlineLevel="1">
      <c r="B511" s="26" t="s">
        <v>421</v>
      </c>
      <c r="C511" s="31" t="s">
        <v>21</v>
      </c>
      <c r="D511" s="31" t="s">
        <v>445</v>
      </c>
      <c r="E511" s="31" t="s">
        <v>446</v>
      </c>
      <c r="F511" s="31" t="s">
        <v>64</v>
      </c>
      <c r="G511" s="31" t="s">
        <v>447</v>
      </c>
      <c r="H511" s="32">
        <v>10.0</v>
      </c>
      <c r="I511" s="31"/>
    </row>
    <row r="512" spans="2:9" ht="16" outlineLevel="1">
      <c r="B512" s="26" t="s">
        <v>421</v>
      </c>
      <c r="C512" s="31" t="s">
        <v>21</v>
      </c>
      <c r="D512" s="31" t="s">
        <v>445</v>
      </c>
      <c r="E512" s="31" t="s">
        <v>446</v>
      </c>
      <c r="F512" s="31" t="s">
        <v>6</v>
      </c>
      <c r="G512" s="31" t="s">
        <v>34</v>
      </c>
      <c r="H512" s="31"/>
      <c r="I512" s="32">
        <v>23.28</v>
      </c>
    </row>
    <row r="513" spans="1:9" ht="16">
      <c r="A513" s="38" t="s">
        <v>448</v>
      </c>
      <c r="H513" s="33">
        <f>H505+H506+H507+H508+H509+H510+H511+H512</f>
        <v>449.28</v>
      </c>
      <c r="I513" s="33">
        <f>I505+I506+I507+I508+I509+I510+I511+I512</f>
        <v>449.28</v>
      </c>
    </row>
    <row r="514" spans="1:1" ht="16">
      <c r="A514" s="39" t="s">
        <v>449</v>
      </c>
    </row>
    <row r="515" spans="2:9" ht="16" outlineLevel="1">
      <c r="B515" s="26" t="s">
        <v>421</v>
      </c>
      <c r="C515" s="31" t="s">
        <v>42</v>
      </c>
      <c r="D515" s="31" t="s">
        <v>6</v>
      </c>
      <c r="E515" s="31" t="s">
        <v>233</v>
      </c>
      <c r="F515" s="31" t="s">
        <v>6</v>
      </c>
      <c r="G515" s="31" t="s">
        <v>46</v>
      </c>
      <c r="H515" s="32">
        <v>1675.52</v>
      </c>
      <c r="I515" s="31"/>
    </row>
    <row r="516" spans="2:9" ht="16" outlineLevel="1">
      <c r="B516" s="26" t="s">
        <v>421</v>
      </c>
      <c r="C516" s="31" t="s">
        <v>42</v>
      </c>
      <c r="D516" s="31" t="s">
        <v>6</v>
      </c>
      <c r="E516" s="31" t="s">
        <v>233</v>
      </c>
      <c r="F516" s="31" t="s">
        <v>6</v>
      </c>
      <c r="G516" s="31" t="s">
        <v>24</v>
      </c>
      <c r="H516" s="31"/>
      <c r="I516" s="32">
        <v>1675.52</v>
      </c>
    </row>
    <row r="517" spans="1:9" ht="16">
      <c r="A517" s="38" t="s">
        <v>450</v>
      </c>
      <c r="H517" s="33">
        <f>H515+H516</f>
        <v>1675.52</v>
      </c>
      <c r="I517" s="33">
        <f>I515+I516</f>
        <v>1675.52</v>
      </c>
    </row>
    <row r="518" spans="1:1" ht="16">
      <c r="A518" s="39" t="s">
        <v>451</v>
      </c>
    </row>
    <row r="519" spans="2:9" ht="16" outlineLevel="1">
      <c r="B519" s="26" t="s">
        <v>421</v>
      </c>
      <c r="C519" s="31" t="s">
        <v>5</v>
      </c>
      <c r="D519" s="31" t="s">
        <v>6</v>
      </c>
      <c r="E519" s="31" t="s">
        <v>6</v>
      </c>
      <c r="F519" s="31" t="s">
        <v>6</v>
      </c>
      <c r="G519" s="31" t="s">
        <v>8</v>
      </c>
      <c r="H519" s="32">
        <v>868.15</v>
      </c>
      <c r="I519" s="31"/>
    </row>
    <row r="520" spans="2:9" ht="16" outlineLevel="1">
      <c r="B520" s="26" t="s">
        <v>421</v>
      </c>
      <c r="C520" s="31" t="s">
        <v>5</v>
      </c>
      <c r="D520" s="31" t="s">
        <v>6</v>
      </c>
      <c r="E520" s="31" t="s">
        <v>6</v>
      </c>
      <c r="F520" s="31" t="s">
        <v>6</v>
      </c>
      <c r="G520" s="31" t="s">
        <v>46</v>
      </c>
      <c r="H520" s="31"/>
      <c r="I520" s="32">
        <v>226.75</v>
      </c>
    </row>
    <row r="521" spans="2:9" ht="16" outlineLevel="1">
      <c r="B521" s="26" t="s">
        <v>421</v>
      </c>
      <c r="C521" s="31" t="s">
        <v>5</v>
      </c>
      <c r="D521" s="31" t="s">
        <v>6</v>
      </c>
      <c r="E521" s="31" t="s">
        <v>6</v>
      </c>
      <c r="F521" s="31" t="s">
        <v>6</v>
      </c>
      <c r="G521" s="31" t="s">
        <v>46</v>
      </c>
      <c r="H521" s="31"/>
      <c r="I521" s="32">
        <v>460.4</v>
      </c>
    </row>
    <row r="522" spans="2:9" ht="16" outlineLevel="1">
      <c r="B522" s="26" t="s">
        <v>421</v>
      </c>
      <c r="C522" s="31" t="s">
        <v>5</v>
      </c>
      <c r="D522" s="31" t="s">
        <v>6</v>
      </c>
      <c r="E522" s="31" t="s">
        <v>6</v>
      </c>
      <c r="F522" s="31" t="s">
        <v>6</v>
      </c>
      <c r="G522" s="31" t="s">
        <v>46</v>
      </c>
      <c r="H522" s="31"/>
      <c r="I522" s="32">
        <v>80.0</v>
      </c>
    </row>
    <row r="523" spans="2:9" ht="16" outlineLevel="1">
      <c r="B523" s="26" t="s">
        <v>421</v>
      </c>
      <c r="C523" s="31" t="s">
        <v>5</v>
      </c>
      <c r="D523" s="31" t="s">
        <v>6</v>
      </c>
      <c r="E523" s="31" t="s">
        <v>6</v>
      </c>
      <c r="F523" s="31" t="s">
        <v>6</v>
      </c>
      <c r="G523" s="31" t="s">
        <v>46</v>
      </c>
      <c r="H523" s="31"/>
      <c r="I523" s="32">
        <v>81.0</v>
      </c>
    </row>
    <row r="524" spans="2:9" ht="16" outlineLevel="1">
      <c r="B524" s="26" t="s">
        <v>421</v>
      </c>
      <c r="C524" s="31" t="s">
        <v>5</v>
      </c>
      <c r="D524" s="31" t="s">
        <v>6</v>
      </c>
      <c r="E524" s="31" t="s">
        <v>6</v>
      </c>
      <c r="F524" s="31" t="s">
        <v>6</v>
      </c>
      <c r="G524" s="31" t="s">
        <v>46</v>
      </c>
      <c r="H524" s="31"/>
      <c r="I524" s="32">
        <v>220.0</v>
      </c>
    </row>
    <row r="525" spans="2:9" ht="16" outlineLevel="1">
      <c r="B525" s="26" t="s">
        <v>421</v>
      </c>
      <c r="C525" s="31" t="s">
        <v>5</v>
      </c>
      <c r="D525" s="31" t="s">
        <v>6</v>
      </c>
      <c r="E525" s="31" t="s">
        <v>6</v>
      </c>
      <c r="F525" s="31" t="s">
        <v>452</v>
      </c>
      <c r="G525" s="31" t="s">
        <v>304</v>
      </c>
      <c r="H525" s="32">
        <v>200.0</v>
      </c>
      <c r="I525" s="31"/>
    </row>
    <row r="526" spans="1:9" ht="16">
      <c r="A526" s="38" t="s">
        <v>453</v>
      </c>
      <c r="H526" s="33">
        <f>H519+H520+H521+H522+H523+H524+H525</f>
        <v>1068.15</v>
      </c>
      <c r="I526" s="33">
        <f>I519+I520+I521+I522+I523+I524+I525</f>
        <v>1068.15</v>
      </c>
    </row>
    <row r="527" spans="1:1" ht="16">
      <c r="A527" s="39" t="s">
        <v>454</v>
      </c>
    </row>
    <row r="528" spans="2:9" ht="16" outlineLevel="1">
      <c r="B528" s="26" t="s">
        <v>421</v>
      </c>
      <c r="C528" s="31" t="s">
        <v>56</v>
      </c>
      <c r="D528" s="31" t="s">
        <v>219</v>
      </c>
      <c r="E528" s="31" t="s">
        <v>78</v>
      </c>
      <c r="F528" s="31" t="s">
        <v>6</v>
      </c>
      <c r="G528" s="31" t="s">
        <v>72</v>
      </c>
      <c r="H528" s="31"/>
      <c r="I528" s="32">
        <v>52.56</v>
      </c>
    </row>
    <row r="529" spans="2:9" ht="16" outlineLevel="1">
      <c r="B529" s="26" t="s">
        <v>421</v>
      </c>
      <c r="C529" s="31" t="s">
        <v>56</v>
      </c>
      <c r="D529" s="31" t="s">
        <v>219</v>
      </c>
      <c r="E529" s="31" t="s">
        <v>78</v>
      </c>
      <c r="F529" s="31" t="s">
        <v>6</v>
      </c>
      <c r="G529" s="31" t="s">
        <v>79</v>
      </c>
      <c r="H529" s="32">
        <v>52.56</v>
      </c>
      <c r="I529" s="31"/>
    </row>
    <row r="530" spans="1:9" ht="16">
      <c r="A530" s="38" t="s">
        <v>455</v>
      </c>
      <c r="H530" s="33">
        <f>H528+H529</f>
        <v>52.56</v>
      </c>
      <c r="I530" s="33">
        <f>I528+I529</f>
        <v>52.56</v>
      </c>
    </row>
    <row r="531" spans="1:1" ht="16">
      <c r="A531" s="39" t="s">
        <v>456</v>
      </c>
    </row>
    <row r="532" spans="2:9" ht="16" outlineLevel="1">
      <c r="B532" s="26" t="s">
        <v>421</v>
      </c>
      <c r="C532" s="31" t="s">
        <v>13</v>
      </c>
      <c r="D532" s="31" t="s">
        <v>6</v>
      </c>
      <c r="E532" s="31" t="s">
        <v>324</v>
      </c>
      <c r="F532" s="31" t="s">
        <v>6</v>
      </c>
      <c r="G532" s="31" t="s">
        <v>16</v>
      </c>
      <c r="H532" s="31"/>
      <c r="I532" s="32">
        <v>205.0</v>
      </c>
    </row>
    <row r="533" spans="2:9" ht="16" outlineLevel="1">
      <c r="B533" s="26" t="s">
        <v>421</v>
      </c>
      <c r="C533" s="31" t="s">
        <v>13</v>
      </c>
      <c r="D533" s="31" t="s">
        <v>6</v>
      </c>
      <c r="E533" s="31" t="s">
        <v>324</v>
      </c>
      <c r="F533" s="31" t="s">
        <v>411</v>
      </c>
      <c r="G533" s="31" t="s">
        <v>427</v>
      </c>
      <c r="H533" s="32">
        <v>80.0</v>
      </c>
      <c r="I533" s="31"/>
    </row>
    <row r="534" spans="2:9" ht="16" outlineLevel="1">
      <c r="B534" s="26" t="s">
        <v>421</v>
      </c>
      <c r="C534" s="31" t="s">
        <v>13</v>
      </c>
      <c r="D534" s="31" t="s">
        <v>6</v>
      </c>
      <c r="E534" s="31" t="s">
        <v>324</v>
      </c>
      <c r="F534" s="31" t="s">
        <v>51</v>
      </c>
      <c r="G534" s="31" t="s">
        <v>427</v>
      </c>
      <c r="H534" s="32">
        <v>125.0</v>
      </c>
      <c r="I534" s="31"/>
    </row>
    <row r="535" spans="1:9" ht="16">
      <c r="A535" s="38" t="s">
        <v>457</v>
      </c>
      <c r="H535" s="33">
        <f>H532+H533+H534</f>
        <v>205.0</v>
      </c>
      <c r="I535" s="33">
        <f>I532+I533+I534</f>
        <v>205.0</v>
      </c>
    </row>
    <row r="536" spans="1:1" ht="16">
      <c r="A536" s="39" t="s">
        <v>458</v>
      </c>
    </row>
    <row r="537" spans="2:9" ht="16" outlineLevel="1">
      <c r="B537" s="26" t="s">
        <v>421</v>
      </c>
      <c r="C537" s="31" t="s">
        <v>56</v>
      </c>
      <c r="D537" s="31" t="s">
        <v>40</v>
      </c>
      <c r="E537" s="31" t="s">
        <v>459</v>
      </c>
      <c r="F537" s="31" t="s">
        <v>6</v>
      </c>
      <c r="G537" s="31" t="s">
        <v>8</v>
      </c>
      <c r="H537" s="31"/>
      <c r="I537" s="32">
        <v>75.0</v>
      </c>
    </row>
    <row r="538" spans="2:9" ht="16" outlineLevel="1">
      <c r="B538" s="26" t="s">
        <v>421</v>
      </c>
      <c r="C538" s="31" t="s">
        <v>56</v>
      </c>
      <c r="D538" s="31" t="s">
        <v>40</v>
      </c>
      <c r="E538" s="31" t="s">
        <v>459</v>
      </c>
      <c r="F538" s="31" t="s">
        <v>460</v>
      </c>
      <c r="G538" s="31" t="s">
        <v>461</v>
      </c>
      <c r="H538" s="32">
        <v>75.0</v>
      </c>
      <c r="I538" s="31"/>
    </row>
    <row r="539" spans="1:9" ht="16">
      <c r="A539" s="38" t="s">
        <v>462</v>
      </c>
      <c r="H539" s="33">
        <f>H537+H538</f>
        <v>75.0</v>
      </c>
      <c r="I539" s="33">
        <f>I537+I538</f>
        <v>75.0</v>
      </c>
    </row>
    <row r="540" spans="1:1" ht="16">
      <c r="A540" s="39" t="s">
        <v>463</v>
      </c>
    </row>
    <row r="541" spans="2:9" ht="16" outlineLevel="1">
      <c r="B541" s="26" t="s">
        <v>421</v>
      </c>
      <c r="C541" s="31" t="s">
        <v>42</v>
      </c>
      <c r="D541" s="31" t="s">
        <v>6</v>
      </c>
      <c r="E541" s="31" t="s">
        <v>31</v>
      </c>
      <c r="F541" s="31" t="s">
        <v>6</v>
      </c>
      <c r="G541" s="31" t="s">
        <v>46</v>
      </c>
      <c r="H541" s="32">
        <v>387.0</v>
      </c>
      <c r="I541" s="31"/>
    </row>
    <row r="542" spans="2:9" ht="16" outlineLevel="1">
      <c r="B542" s="26" t="s">
        <v>421</v>
      </c>
      <c r="C542" s="31" t="s">
        <v>42</v>
      </c>
      <c r="D542" s="31" t="s">
        <v>6</v>
      </c>
      <c r="E542" s="31" t="s">
        <v>31</v>
      </c>
      <c r="F542" s="31" t="s">
        <v>6</v>
      </c>
      <c r="G542" s="31" t="s">
        <v>24</v>
      </c>
      <c r="H542" s="31"/>
      <c r="I542" s="32">
        <v>387.0</v>
      </c>
    </row>
    <row r="543" spans="1:9" ht="16">
      <c r="A543" s="38" t="s">
        <v>464</v>
      </c>
      <c r="H543" s="33">
        <f>H541+H542</f>
        <v>387.0</v>
      </c>
      <c r="I543" s="33">
        <f>I541+I542</f>
        <v>387.0</v>
      </c>
    </row>
    <row r="544" spans="1:1" ht="16">
      <c r="A544" s="39" t="s">
        <v>465</v>
      </c>
    </row>
    <row r="545" spans="2:9" ht="16" outlineLevel="1">
      <c r="B545" s="26" t="s">
        <v>421</v>
      </c>
      <c r="C545" s="31" t="s">
        <v>21</v>
      </c>
      <c r="D545" s="31" t="s">
        <v>466</v>
      </c>
      <c r="E545" s="31" t="s">
        <v>31</v>
      </c>
      <c r="F545" s="31" t="s">
        <v>6</v>
      </c>
      <c r="G545" s="31" t="s">
        <v>24</v>
      </c>
      <c r="H545" s="32">
        <v>477.5</v>
      </c>
      <c r="I545" s="31"/>
    </row>
    <row r="546" spans="2:9" ht="16" outlineLevel="1">
      <c r="B546" s="26" t="s">
        <v>421</v>
      </c>
      <c r="C546" s="31" t="s">
        <v>21</v>
      </c>
      <c r="D546" s="31" t="s">
        <v>466</v>
      </c>
      <c r="E546" s="31" t="s">
        <v>31</v>
      </c>
      <c r="F546" s="31" t="s">
        <v>32</v>
      </c>
      <c r="G546" s="31" t="s">
        <v>33</v>
      </c>
      <c r="H546" s="31"/>
      <c r="I546" s="32">
        <v>50.0</v>
      </c>
    </row>
    <row r="547" spans="2:9" ht="16" outlineLevel="1">
      <c r="B547" s="26" t="s">
        <v>421</v>
      </c>
      <c r="C547" s="31" t="s">
        <v>21</v>
      </c>
      <c r="D547" s="31" t="s">
        <v>466</v>
      </c>
      <c r="E547" s="31" t="s">
        <v>31</v>
      </c>
      <c r="F547" s="31" t="s">
        <v>174</v>
      </c>
      <c r="G547" s="31" t="s">
        <v>33</v>
      </c>
      <c r="H547" s="31"/>
      <c r="I547" s="32">
        <v>50.0</v>
      </c>
    </row>
    <row r="548" spans="2:9" ht="16" outlineLevel="1">
      <c r="B548" s="26" t="s">
        <v>421</v>
      </c>
      <c r="C548" s="31" t="s">
        <v>21</v>
      </c>
      <c r="D548" s="31" t="s">
        <v>466</v>
      </c>
      <c r="E548" s="31" t="s">
        <v>31</v>
      </c>
      <c r="F548" s="31" t="s">
        <v>25</v>
      </c>
      <c r="G548" s="31" t="s">
        <v>26</v>
      </c>
      <c r="H548" s="31"/>
      <c r="I548" s="32">
        <v>87.5</v>
      </c>
    </row>
    <row r="549" spans="2:9" ht="16" outlineLevel="1">
      <c r="B549" s="26" t="s">
        <v>421</v>
      </c>
      <c r="C549" s="31" t="s">
        <v>21</v>
      </c>
      <c r="D549" s="31" t="s">
        <v>466</v>
      </c>
      <c r="E549" s="31" t="s">
        <v>31</v>
      </c>
      <c r="F549" s="31" t="s">
        <v>51</v>
      </c>
      <c r="G549" s="31" t="s">
        <v>234</v>
      </c>
      <c r="H549" s="31"/>
      <c r="I549" s="32">
        <v>275.0</v>
      </c>
    </row>
    <row r="550" spans="2:9" ht="16" outlineLevel="1">
      <c r="B550" s="26" t="s">
        <v>421</v>
      </c>
      <c r="C550" s="31" t="s">
        <v>21</v>
      </c>
      <c r="D550" s="31" t="s">
        <v>466</v>
      </c>
      <c r="E550" s="31" t="s">
        <v>31</v>
      </c>
      <c r="F550" s="31" t="s">
        <v>51</v>
      </c>
      <c r="G550" s="31" t="s">
        <v>427</v>
      </c>
      <c r="H550" s="31"/>
      <c r="I550" s="32">
        <v>125.0</v>
      </c>
    </row>
    <row r="551" spans="2:9" ht="16" outlineLevel="1">
      <c r="B551" s="26" t="s">
        <v>421</v>
      </c>
      <c r="C551" s="31" t="s">
        <v>21</v>
      </c>
      <c r="D551" s="31" t="s">
        <v>466</v>
      </c>
      <c r="E551" s="31" t="s">
        <v>31</v>
      </c>
      <c r="F551" s="31" t="s">
        <v>51</v>
      </c>
      <c r="G551" s="31" t="s">
        <v>447</v>
      </c>
      <c r="H551" s="32">
        <v>125.0</v>
      </c>
      <c r="I551" s="31"/>
    </row>
    <row r="552" spans="2:9" ht="16" outlineLevel="1">
      <c r="B552" s="26" t="s">
        <v>421</v>
      </c>
      <c r="C552" s="31" t="s">
        <v>21</v>
      </c>
      <c r="D552" s="31" t="s">
        <v>466</v>
      </c>
      <c r="E552" s="31" t="s">
        <v>31</v>
      </c>
      <c r="F552" s="31" t="s">
        <v>411</v>
      </c>
      <c r="G552" s="31" t="s">
        <v>234</v>
      </c>
      <c r="H552" s="31"/>
      <c r="I552" s="32">
        <v>15.0</v>
      </c>
    </row>
    <row r="553" spans="2:9" ht="16" outlineLevel="1">
      <c r="B553" s="26" t="s">
        <v>421</v>
      </c>
      <c r="C553" s="31" t="s">
        <v>21</v>
      </c>
      <c r="D553" s="31" t="s">
        <v>466</v>
      </c>
      <c r="E553" s="31" t="s">
        <v>31</v>
      </c>
      <c r="F553" s="31" t="s">
        <v>411</v>
      </c>
      <c r="G553" s="31" t="s">
        <v>427</v>
      </c>
      <c r="H553" s="31"/>
      <c r="I553" s="32">
        <v>10.0</v>
      </c>
    </row>
    <row r="554" spans="2:9" ht="16" outlineLevel="1">
      <c r="B554" s="26" t="s">
        <v>421</v>
      </c>
      <c r="C554" s="31" t="s">
        <v>21</v>
      </c>
      <c r="D554" s="31" t="s">
        <v>466</v>
      </c>
      <c r="E554" s="31" t="s">
        <v>31</v>
      </c>
      <c r="F554" s="31" t="s">
        <v>411</v>
      </c>
      <c r="G554" s="31" t="s">
        <v>447</v>
      </c>
      <c r="H554" s="32">
        <v>10.0</v>
      </c>
      <c r="I554" s="31"/>
    </row>
    <row r="555" spans="1:9" ht="16">
      <c r="A555" s="38" t="s">
        <v>467</v>
      </c>
      <c r="H555" s="33">
        <f>H545+H546+H547+H548+H549+H550+H551+H552+H553+H554</f>
        <v>612.5</v>
      </c>
      <c r="I555" s="33">
        <f>I545+I546+I547+I548+I549+I550+I551+I552+I553+I554</f>
        <v>612.5</v>
      </c>
    </row>
    <row r="556" spans="1:1" ht="16">
      <c r="A556" s="39" t="s">
        <v>468</v>
      </c>
    </row>
    <row r="557" spans="2:9" ht="16" outlineLevel="1">
      <c r="B557" s="26" t="s">
        <v>421</v>
      </c>
      <c r="C557" s="31" t="s">
        <v>21</v>
      </c>
      <c r="D557" s="31" t="s">
        <v>469</v>
      </c>
      <c r="E557" s="31" t="s">
        <v>470</v>
      </c>
      <c r="F557" s="31" t="s">
        <v>6</v>
      </c>
      <c r="G557" s="31" t="s">
        <v>24</v>
      </c>
      <c r="H557" s="32">
        <v>362.07</v>
      </c>
      <c r="I557" s="31"/>
    </row>
    <row r="558" spans="2:9" ht="16" outlineLevel="1">
      <c r="B558" s="26" t="s">
        <v>421</v>
      </c>
      <c r="C558" s="31" t="s">
        <v>21</v>
      </c>
      <c r="D558" s="31" t="s">
        <v>469</v>
      </c>
      <c r="E558" s="31" t="s">
        <v>470</v>
      </c>
      <c r="F558" s="31" t="s">
        <v>51</v>
      </c>
      <c r="G558" s="31" t="s">
        <v>234</v>
      </c>
      <c r="H558" s="31"/>
      <c r="I558" s="32">
        <v>275.0</v>
      </c>
    </row>
    <row r="559" spans="2:9" ht="16" outlineLevel="1">
      <c r="B559" s="26" t="s">
        <v>421</v>
      </c>
      <c r="C559" s="31" t="s">
        <v>21</v>
      </c>
      <c r="D559" s="31" t="s">
        <v>469</v>
      </c>
      <c r="E559" s="31" t="s">
        <v>470</v>
      </c>
      <c r="F559" s="31" t="s">
        <v>51</v>
      </c>
      <c r="G559" s="31" t="s">
        <v>427</v>
      </c>
      <c r="H559" s="31"/>
      <c r="I559" s="32">
        <v>125.0</v>
      </c>
    </row>
    <row r="560" spans="2:9" ht="16" outlineLevel="1">
      <c r="B560" s="26" t="s">
        <v>421</v>
      </c>
      <c r="C560" s="31" t="s">
        <v>21</v>
      </c>
      <c r="D560" s="31" t="s">
        <v>469</v>
      </c>
      <c r="E560" s="31" t="s">
        <v>470</v>
      </c>
      <c r="F560" s="31" t="s">
        <v>51</v>
      </c>
      <c r="G560" s="31" t="s">
        <v>447</v>
      </c>
      <c r="H560" s="32">
        <v>125.0</v>
      </c>
      <c r="I560" s="31"/>
    </row>
    <row r="561" spans="2:9" ht="16" outlineLevel="1">
      <c r="B561" s="26" t="s">
        <v>421</v>
      </c>
      <c r="C561" s="31" t="s">
        <v>21</v>
      </c>
      <c r="D561" s="31" t="s">
        <v>469</v>
      </c>
      <c r="E561" s="31" t="s">
        <v>470</v>
      </c>
      <c r="F561" s="31" t="s">
        <v>411</v>
      </c>
      <c r="G561" s="31" t="s">
        <v>234</v>
      </c>
      <c r="H561" s="31"/>
      <c r="I561" s="32">
        <v>12.75</v>
      </c>
    </row>
    <row r="562" spans="2:9" ht="16" outlineLevel="1">
      <c r="B562" s="26" t="s">
        <v>421</v>
      </c>
      <c r="C562" s="31" t="s">
        <v>21</v>
      </c>
      <c r="D562" s="31" t="s">
        <v>469</v>
      </c>
      <c r="E562" s="31" t="s">
        <v>470</v>
      </c>
      <c r="F562" s="31" t="s">
        <v>411</v>
      </c>
      <c r="G562" s="31" t="s">
        <v>427</v>
      </c>
      <c r="H562" s="31"/>
      <c r="I562" s="32">
        <v>10.0</v>
      </c>
    </row>
    <row r="563" spans="2:9" ht="16" outlineLevel="1">
      <c r="B563" s="26" t="s">
        <v>421</v>
      </c>
      <c r="C563" s="31" t="s">
        <v>21</v>
      </c>
      <c r="D563" s="31" t="s">
        <v>469</v>
      </c>
      <c r="E563" s="31" t="s">
        <v>470</v>
      </c>
      <c r="F563" s="31" t="s">
        <v>411</v>
      </c>
      <c r="G563" s="31" t="s">
        <v>447</v>
      </c>
      <c r="H563" s="32">
        <v>10.0</v>
      </c>
      <c r="I563" s="31"/>
    </row>
    <row r="564" spans="2:9" ht="16" outlineLevel="1">
      <c r="B564" s="26" t="s">
        <v>421</v>
      </c>
      <c r="C564" s="31" t="s">
        <v>21</v>
      </c>
      <c r="D564" s="31" t="s">
        <v>469</v>
      </c>
      <c r="E564" s="31" t="s">
        <v>470</v>
      </c>
      <c r="F564" s="31" t="s">
        <v>103</v>
      </c>
      <c r="G564" s="31" t="s">
        <v>52</v>
      </c>
      <c r="H564" s="31"/>
      <c r="I564" s="32">
        <v>47.5</v>
      </c>
    </row>
    <row r="565" spans="2:9" ht="16" outlineLevel="1">
      <c r="B565" s="26" t="s">
        <v>421</v>
      </c>
      <c r="C565" s="31" t="s">
        <v>21</v>
      </c>
      <c r="D565" s="31" t="s">
        <v>469</v>
      </c>
      <c r="E565" s="31" t="s">
        <v>470</v>
      </c>
      <c r="F565" s="31" t="s">
        <v>6</v>
      </c>
      <c r="G565" s="31" t="s">
        <v>34</v>
      </c>
      <c r="H565" s="31"/>
      <c r="I565" s="32">
        <v>26.82</v>
      </c>
    </row>
    <row r="566" spans="1:9" ht="16">
      <c r="A566" s="38" t="s">
        <v>471</v>
      </c>
      <c r="H566" s="33">
        <f>H557+H558+H559+H560+H561+H562+H563+H564+H565</f>
        <v>497.07</v>
      </c>
      <c r="I566" s="33">
        <f>I557+I558+I559+I560+I561+I562+I563+I564+I565</f>
        <v>497.07</v>
      </c>
    </row>
    <row r="567" spans="1:1" ht="16">
      <c r="A567" s="39" t="s">
        <v>472</v>
      </c>
    </row>
    <row r="568" spans="2:9" ht="16" outlineLevel="1">
      <c r="B568" s="26" t="s">
        <v>473</v>
      </c>
      <c r="C568" s="31" t="s">
        <v>261</v>
      </c>
      <c r="D568" s="31" t="s">
        <v>6</v>
      </c>
      <c r="E568" s="31" t="s">
        <v>71</v>
      </c>
      <c r="F568" s="31" t="s">
        <v>6</v>
      </c>
      <c r="G568" s="31" t="s">
        <v>8</v>
      </c>
      <c r="H568" s="31"/>
      <c r="I568" s="32">
        <v>23.5</v>
      </c>
    </row>
    <row r="569" spans="2:9" ht="16" outlineLevel="1">
      <c r="B569" s="26" t="s">
        <v>473</v>
      </c>
      <c r="C569" s="31" t="s">
        <v>261</v>
      </c>
      <c r="D569" s="31" t="s">
        <v>6</v>
      </c>
      <c r="E569" s="31" t="s">
        <v>71</v>
      </c>
      <c r="F569" s="31" t="s">
        <v>6</v>
      </c>
      <c r="G569" s="31" t="s">
        <v>73</v>
      </c>
      <c r="H569" s="32">
        <v>23.5</v>
      </c>
      <c r="I569" s="31"/>
    </row>
    <row r="570" spans="1:9" ht="16">
      <c r="A570" s="38" t="s">
        <v>474</v>
      </c>
      <c r="H570" s="33">
        <f>H568+H569</f>
        <v>23.5</v>
      </c>
      <c r="I570" s="33">
        <f>I568+I569</f>
        <v>23.5</v>
      </c>
    </row>
    <row r="571" spans="1:1" ht="16">
      <c r="A571" s="39" t="s">
        <v>475</v>
      </c>
    </row>
    <row r="572" spans="2:9" ht="16" outlineLevel="1">
      <c r="B572" s="26" t="s">
        <v>476</v>
      </c>
      <c r="C572" s="31" t="s">
        <v>477</v>
      </c>
      <c r="D572" s="31" t="s">
        <v>6</v>
      </c>
      <c r="E572" s="31" t="s">
        <v>262</v>
      </c>
      <c r="F572" s="31" t="s">
        <v>478</v>
      </c>
      <c r="G572" s="31" t="s">
        <v>72</v>
      </c>
      <c r="H572" s="31"/>
      <c r="I572" s="32">
        <v>18.97</v>
      </c>
    </row>
    <row r="573" spans="2:9" ht="16" outlineLevel="1">
      <c r="B573" s="26" t="s">
        <v>476</v>
      </c>
      <c r="C573" s="31" t="s">
        <v>477</v>
      </c>
      <c r="D573" s="31" t="s">
        <v>6</v>
      </c>
      <c r="E573" s="31" t="s">
        <v>262</v>
      </c>
      <c r="F573" s="31" t="s">
        <v>6</v>
      </c>
      <c r="G573" s="31" t="s">
        <v>263</v>
      </c>
      <c r="H573" s="32">
        <v>18.97</v>
      </c>
      <c r="I573" s="31"/>
    </row>
    <row r="574" spans="1:9" ht="16">
      <c r="A574" s="38" t="s">
        <v>479</v>
      </c>
      <c r="H574" s="33">
        <f>H572+H573</f>
        <v>18.97</v>
      </c>
      <c r="I574" s="33">
        <f>I572+I573</f>
        <v>18.97</v>
      </c>
    </row>
    <row r="575" spans="1:1" ht="16">
      <c r="A575" s="39" t="s">
        <v>480</v>
      </c>
    </row>
    <row r="576" spans="2:9" ht="16" outlineLevel="1">
      <c r="B576" s="26" t="s">
        <v>476</v>
      </c>
      <c r="C576" s="31" t="s">
        <v>477</v>
      </c>
      <c r="D576" s="31" t="s">
        <v>6</v>
      </c>
      <c r="E576" s="31" t="s">
        <v>266</v>
      </c>
      <c r="F576" s="31" t="s">
        <v>6</v>
      </c>
      <c r="G576" s="31" t="s">
        <v>72</v>
      </c>
      <c r="H576" s="31"/>
      <c r="I576" s="32">
        <v>19.99</v>
      </c>
    </row>
    <row r="577" spans="2:9" ht="16" outlineLevel="1">
      <c r="B577" s="26" t="s">
        <v>476</v>
      </c>
      <c r="C577" s="31" t="s">
        <v>477</v>
      </c>
      <c r="D577" s="31" t="s">
        <v>6</v>
      </c>
      <c r="E577" s="31" t="s">
        <v>266</v>
      </c>
      <c r="F577" s="31" t="s">
        <v>6</v>
      </c>
      <c r="G577" s="31" t="s">
        <v>267</v>
      </c>
      <c r="H577" s="32">
        <v>19.99</v>
      </c>
      <c r="I577" s="31"/>
    </row>
    <row r="578" spans="1:9" ht="16">
      <c r="A578" s="38" t="s">
        <v>481</v>
      </c>
      <c r="H578" s="33">
        <f>H576+H577</f>
        <v>19.99</v>
      </c>
      <c r="I578" s="33">
        <f>I576+I577</f>
        <v>19.99</v>
      </c>
    </row>
    <row r="579" spans="1:1" ht="16">
      <c r="A579" s="39" t="s">
        <v>482</v>
      </c>
    </row>
    <row r="580" spans="2:9" ht="16" outlineLevel="1">
      <c r="B580" s="26" t="s">
        <v>483</v>
      </c>
      <c r="C580" s="31" t="s">
        <v>477</v>
      </c>
      <c r="D580" s="31" t="s">
        <v>6</v>
      </c>
      <c r="E580" s="31" t="s">
        <v>138</v>
      </c>
      <c r="F580" s="31" t="s">
        <v>6</v>
      </c>
      <c r="G580" s="31" t="s">
        <v>72</v>
      </c>
      <c r="H580" s="31"/>
      <c r="I580" s="32">
        <v>42.4</v>
      </c>
    </row>
    <row r="581" spans="2:9" ht="16" outlineLevel="1">
      <c r="B581" s="26" t="s">
        <v>483</v>
      </c>
      <c r="C581" s="31" t="s">
        <v>477</v>
      </c>
      <c r="D581" s="31" t="s">
        <v>6</v>
      </c>
      <c r="E581" s="31" t="s">
        <v>138</v>
      </c>
      <c r="F581" s="31" t="s">
        <v>6</v>
      </c>
      <c r="G581" s="31" t="s">
        <v>243</v>
      </c>
      <c r="H581" s="32">
        <v>42.4</v>
      </c>
      <c r="I581" s="31"/>
    </row>
    <row r="582" spans="1:9" ht="16">
      <c r="A582" s="38" t="s">
        <v>484</v>
      </c>
      <c r="H582" s="33">
        <f>H580+H581</f>
        <v>42.4</v>
      </c>
      <c r="I582" s="33">
        <f>I580+I581</f>
        <v>42.4</v>
      </c>
    </row>
    <row r="583" spans="1:1" ht="16">
      <c r="A583" s="39" t="s">
        <v>485</v>
      </c>
    </row>
    <row r="584" spans="2:9" ht="16" outlineLevel="1">
      <c r="B584" s="26" t="s">
        <v>486</v>
      </c>
      <c r="C584" s="31" t="s">
        <v>477</v>
      </c>
      <c r="D584" s="31" t="s">
        <v>6</v>
      </c>
      <c r="E584" s="31" t="s">
        <v>266</v>
      </c>
      <c r="F584" s="31" t="s">
        <v>6</v>
      </c>
      <c r="G584" s="31" t="s">
        <v>72</v>
      </c>
      <c r="H584" s="31"/>
      <c r="I584" s="32">
        <v>19.99</v>
      </c>
    </row>
    <row r="585" spans="2:9" ht="16" outlineLevel="1">
      <c r="B585" s="26" t="s">
        <v>486</v>
      </c>
      <c r="C585" s="31" t="s">
        <v>477</v>
      </c>
      <c r="D585" s="31" t="s">
        <v>6</v>
      </c>
      <c r="E585" s="31" t="s">
        <v>266</v>
      </c>
      <c r="F585" s="31" t="s">
        <v>6</v>
      </c>
      <c r="G585" s="31" t="s">
        <v>267</v>
      </c>
      <c r="H585" s="32">
        <v>19.99</v>
      </c>
      <c r="I585" s="31"/>
    </row>
    <row r="586" spans="1:9" ht="16">
      <c r="A586" s="38" t="s">
        <v>487</v>
      </c>
      <c r="H586" s="33">
        <f>H584+H585</f>
        <v>19.99</v>
      </c>
      <c r="I586" s="33">
        <f>I584+I585</f>
        <v>19.99</v>
      </c>
    </row>
    <row r="587" spans="1:1" ht="16">
      <c r="A587" s="39" t="s">
        <v>488</v>
      </c>
    </row>
    <row r="588" spans="2:9" ht="16" outlineLevel="1">
      <c r="B588" s="26" t="s">
        <v>489</v>
      </c>
      <c r="C588" s="31" t="s">
        <v>490</v>
      </c>
      <c r="D588" s="31" t="s">
        <v>6</v>
      </c>
      <c r="E588" s="31" t="s">
        <v>6</v>
      </c>
      <c r="F588" s="31" t="s">
        <v>491</v>
      </c>
      <c r="G588" s="31" t="s">
        <v>72</v>
      </c>
      <c r="H588" s="32">
        <v>900.0</v>
      </c>
      <c r="I588" s="31"/>
    </row>
    <row r="589" spans="2:9" ht="16" outlineLevel="1">
      <c r="B589" s="26" t="s">
        <v>489</v>
      </c>
      <c r="C589" s="31" t="s">
        <v>490</v>
      </c>
      <c r="D589" s="31" t="s">
        <v>6</v>
      </c>
      <c r="E589" s="31" t="s">
        <v>6</v>
      </c>
      <c r="F589" s="31" t="s">
        <v>6</v>
      </c>
      <c r="G589" s="31" t="s">
        <v>8</v>
      </c>
      <c r="H589" s="31"/>
      <c r="I589" s="32">
        <v>900.0</v>
      </c>
    </row>
    <row r="590" spans="1:9" ht="16">
      <c r="A590" s="38" t="s">
        <v>492</v>
      </c>
      <c r="H590" s="33">
        <f>H588+H589</f>
        <v>900.0</v>
      </c>
      <c r="I590" s="33">
        <f>I588+I589</f>
        <v>900.0</v>
      </c>
    </row>
    <row r="591" spans="1:1" ht="16">
      <c r="A591" s="39" t="s">
        <v>493</v>
      </c>
    </row>
    <row r="592" spans="2:9" ht="16" outlineLevel="1">
      <c r="B592" s="26" t="s">
        <v>494</v>
      </c>
      <c r="C592" s="31" t="s">
        <v>477</v>
      </c>
      <c r="D592" s="31" t="s">
        <v>6</v>
      </c>
      <c r="E592" s="31" t="s">
        <v>6</v>
      </c>
      <c r="F592" s="31" t="s">
        <v>6</v>
      </c>
      <c r="G592" s="31" t="s">
        <v>72</v>
      </c>
      <c r="H592" s="31"/>
      <c r="I592" s="32">
        <v>34.0</v>
      </c>
    </row>
    <row r="593" spans="2:9" ht="16" outlineLevel="1">
      <c r="B593" s="26" t="s">
        <v>494</v>
      </c>
      <c r="C593" s="31" t="s">
        <v>477</v>
      </c>
      <c r="D593" s="31" t="s">
        <v>6</v>
      </c>
      <c r="E593" s="31" t="s">
        <v>6</v>
      </c>
      <c r="F593" s="31" t="s">
        <v>6</v>
      </c>
      <c r="G593" s="31" t="s">
        <v>267</v>
      </c>
      <c r="H593" s="32">
        <v>34.0</v>
      </c>
      <c r="I593" s="31"/>
    </row>
    <row r="594" spans="1:9" ht="16">
      <c r="A594" s="38" t="s">
        <v>495</v>
      </c>
      <c r="H594" s="33">
        <f>H592+H593</f>
        <v>34.0</v>
      </c>
      <c r="I594" s="33">
        <f>I592+I593</f>
        <v>34.0</v>
      </c>
    </row>
    <row r="595" spans="2:9" ht="16">
      <c r="B595" s="27" t="s">
        <v>496</v>
      </c>
      <c r="H595" s="33">
        <v>80890.15000000004</v>
      </c>
      <c r="I595" s="33">
        <v>80890.15000000004</v>
      </c>
    </row>
    <row r="599" spans="1:1" ht="16">
      <c r="A599" s="40" t="s">
        <v>504</v>
      </c>
    </row>
  </sheetData>
  <mergeCells count="4">
    <mergeCell ref="A1:H1"/>
    <mergeCell ref="A2:H2"/>
    <mergeCell ref="A3:H3"/>
    <mergeCell ref="A599:H59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