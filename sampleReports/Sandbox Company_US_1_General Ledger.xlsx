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9" i="1" l="1"/>
</calcChain>
</file>

<file path=xl/sharedStrings.xml><?xml version="1.0" encoding="utf-8"?>
<sst xmlns="http://schemas.openxmlformats.org/spreadsheetml/2006/main" count="2461" uniqueCount="301">
  <si>
    <t>General Ledger</t>
  </si>
  <si>
    <t>Sandbox Company_US_1</t>
  </si>
  <si>
    <t>January 1-September 8, 2025</t>
  </si>
  <si>
    <t>Checking</t>
  </si>
  <si>
    <t>02/15/2025</t>
  </si>
  <si>
    <t>Deposit</t>
  </si>
  <si>
    <t/>
  </si>
  <si>
    <t>Opening Balance</t>
  </si>
  <si>
    <t>Opening Balance Equity</t>
  </si>
  <si>
    <t>03/29/2025</t>
  </si>
  <si>
    <t>Bill Payment (Check)</t>
  </si>
  <si>
    <t>10</t>
  </si>
  <si>
    <t>Robertson &amp; Associates</t>
  </si>
  <si>
    <t>Accounts Payable (A/P)</t>
  </si>
  <si>
    <t>04/06/2025</t>
  </si>
  <si>
    <t>Payment</t>
  </si>
  <si>
    <t>1053</t>
  </si>
  <si>
    <t>Bill's Windsurf Shop</t>
  </si>
  <si>
    <t>Accounts Receivable (A/R)</t>
  </si>
  <si>
    <t>04/20/2025</t>
  </si>
  <si>
    <t>Expense</t>
  </si>
  <si>
    <t>12</t>
  </si>
  <si>
    <t>Accounting</t>
  </si>
  <si>
    <t>05/12/2025</t>
  </si>
  <si>
    <t>Check</t>
  </si>
  <si>
    <t>4</t>
  </si>
  <si>
    <t>Chin's Gas and Oil</t>
  </si>
  <si>
    <t>Fuel</t>
  </si>
  <si>
    <t>05/18/2025</t>
  </si>
  <si>
    <t>Sales Tax Payment</t>
  </si>
  <si>
    <t>Q1 Payment</t>
  </si>
  <si>
    <t>05/21/2025</t>
  </si>
  <si>
    <t>9</t>
  </si>
  <si>
    <t>Tania's Nursery</t>
  </si>
  <si>
    <t>Plants and Soil</t>
  </si>
  <si>
    <t>Books by Bessie</t>
  </si>
  <si>
    <t>Bookkeeper</t>
  </si>
  <si>
    <t>05/27/2025</t>
  </si>
  <si>
    <t>5</t>
  </si>
  <si>
    <t>05/28/2025</t>
  </si>
  <si>
    <t>15</t>
  </si>
  <si>
    <t>Job Expenses</t>
  </si>
  <si>
    <t>06/06/2025</t>
  </si>
  <si>
    <t>5664</t>
  </si>
  <si>
    <t>Freeman Sporting Goods:55 Twin Lane</t>
  </si>
  <si>
    <t>Sales Receipt</t>
  </si>
  <si>
    <t>1008</t>
  </si>
  <si>
    <t>Kate Whelan</t>
  </si>
  <si>
    <t>Design income</t>
  </si>
  <si>
    <t>06/08/2025</t>
  </si>
  <si>
    <t>Amy's Bird Sanctuary</t>
  </si>
  <si>
    <t>Amy claims the pest control did not occur</t>
  </si>
  <si>
    <t>06/10/2025</t>
  </si>
  <si>
    <t>7</t>
  </si>
  <si>
    <t>Hicks Hardware</t>
  </si>
  <si>
    <t>06/13/2025</t>
  </si>
  <si>
    <t>8</t>
  </si>
  <si>
    <t>06/22/2025</t>
  </si>
  <si>
    <t>Tony Rondonuwu</t>
  </si>
  <si>
    <t>Lawyer</t>
  </si>
  <si>
    <t>Cash Expense</t>
  </si>
  <si>
    <t>Bob's Burger Joint</t>
  </si>
  <si>
    <t>Meals and Entertainment</t>
  </si>
  <si>
    <t>Squeaky Kleen Car Wash</t>
  </si>
  <si>
    <t>Automobile</t>
  </si>
  <si>
    <t>06/23/2025</t>
  </si>
  <si>
    <t>70</t>
  </si>
  <si>
    <t>Maintenance and Repair</t>
  </si>
  <si>
    <t>06/24/2025</t>
  </si>
  <si>
    <t>1886</t>
  </si>
  <si>
    <t>Cool Cars</t>
  </si>
  <si>
    <t>11</t>
  </si>
  <si>
    <t>Hall Properties</t>
  </si>
  <si>
    <t>06/25/2025</t>
  </si>
  <si>
    <t>2</t>
  </si>
  <si>
    <t>Mahoney Mugs</t>
  </si>
  <si>
    <t>Office Expenses</t>
  </si>
  <si>
    <t>13</t>
  </si>
  <si>
    <t>Sprinklers and Drip Systems</t>
  </si>
  <si>
    <t>06/26/2025</t>
  </si>
  <si>
    <t>1003</t>
  </si>
  <si>
    <t>Dylan Sollfrank</t>
  </si>
  <si>
    <t>06/27/2025</t>
  </si>
  <si>
    <t>06/28/2025</t>
  </si>
  <si>
    <t>1</t>
  </si>
  <si>
    <t>Brosnahan Insurance Agency</t>
  </si>
  <si>
    <t>06/29/2025</t>
  </si>
  <si>
    <t>3</t>
  </si>
  <si>
    <t>2064</t>
  </si>
  <si>
    <t>Travis Waldron</t>
  </si>
  <si>
    <t>Refund</t>
  </si>
  <si>
    <t>1020</t>
  </si>
  <si>
    <t>Pye's Cakes</t>
  </si>
  <si>
    <t>Pest Control Services</t>
  </si>
  <si>
    <t>Debit</t>
  </si>
  <si>
    <t>06/30/2025</t>
  </si>
  <si>
    <t>6</t>
  </si>
  <si>
    <t>PG&amp;E</t>
  </si>
  <si>
    <t>45</t>
  </si>
  <si>
    <t>Tim Philip Masonry</t>
  </si>
  <si>
    <t>108</t>
  </si>
  <si>
    <t>07/01/2025</t>
  </si>
  <si>
    <t>75</t>
  </si>
  <si>
    <t>76</t>
  </si>
  <si>
    <t>Pam Seitz</t>
  </si>
  <si>
    <t>Legal &amp; Professional Fees</t>
  </si>
  <si>
    <t>07/04/2025</t>
  </si>
  <si>
    <t>07/15/2025</t>
  </si>
  <si>
    <t>Credit Card Credit</t>
  </si>
  <si>
    <t>Monthly Payment</t>
  </si>
  <si>
    <t>Mastercard</t>
  </si>
  <si>
    <t>Total for Checking</t>
  </si>
  <si>
    <t>06/15/2025</t>
  </si>
  <si>
    <t>Journal Entry</t>
  </si>
  <si>
    <t>Savings</t>
  </si>
  <si>
    <t>Inventory Qty Adjust</t>
  </si>
  <si>
    <t>START</t>
  </si>
  <si>
    <t>Opening inventory for Pump</t>
  </si>
  <si>
    <t>Inventory Asset</t>
  </si>
  <si>
    <t>Opening inventory for Sprinkler Heads</t>
  </si>
  <si>
    <t>Opening inventory for Sprinkler Pipes</t>
  </si>
  <si>
    <t>Opening inventory for Rock Fountain</t>
  </si>
  <si>
    <t>Total for Opening Balance Equity</t>
  </si>
  <si>
    <t>02/27/2025</t>
  </si>
  <si>
    <t>Bill</t>
  </si>
  <si>
    <t>Lawyer fees related to Startup</t>
  </si>
  <si>
    <t>05/16/2025</t>
  </si>
  <si>
    <t>Cal Telephone</t>
  </si>
  <si>
    <t>Telephone</t>
  </si>
  <si>
    <t>05/17/2025</t>
  </si>
  <si>
    <t>Gas and Electric</t>
  </si>
  <si>
    <t>05/25/2025</t>
  </si>
  <si>
    <t>Miscellaneous</t>
  </si>
  <si>
    <t>Rent or Lease</t>
  </si>
  <si>
    <t>06/16/2025</t>
  </si>
  <si>
    <t>06/17/2025</t>
  </si>
  <si>
    <t>Insurance</t>
  </si>
  <si>
    <t>Norton Lumber and Building Materials</t>
  </si>
  <si>
    <t>Decks and Patios</t>
  </si>
  <si>
    <t>Diego's Road Warrior Bodyshop</t>
  </si>
  <si>
    <t>Equipment Repairs</t>
  </si>
  <si>
    <t>Bill Payment (Credit Card)</t>
  </si>
  <si>
    <t>Total for Accounts Payable (A/P)</t>
  </si>
  <si>
    <t>03/16/2025</t>
  </si>
  <si>
    <t>Invoice</t>
  </si>
  <si>
    <t>1002</t>
  </si>
  <si>
    <t>1030</t>
  </si>
  <si>
    <t>Freeman Sporting Goods:0969 Ocean View Road</t>
  </si>
  <si>
    <t>Undeposited Funds</t>
  </si>
  <si>
    <t>04/16/2025</t>
  </si>
  <si>
    <t>1031</t>
  </si>
  <si>
    <t>04/23/2025</t>
  </si>
  <si>
    <t>1024</t>
  </si>
  <si>
    <t>Red Rock Diner</t>
  </si>
  <si>
    <t>05/13/2025</t>
  </si>
  <si>
    <t>1016</t>
  </si>
  <si>
    <t>Kookies by Kathy</t>
  </si>
  <si>
    <t>Landscaping Services</t>
  </si>
  <si>
    <t>05/14/2025</t>
  </si>
  <si>
    <t>1025</t>
  </si>
  <si>
    <t>1027</t>
  </si>
  <si>
    <t>1028</t>
  </si>
  <si>
    <t>1029</t>
  </si>
  <si>
    <t>Dukes Basketball Camp</t>
  </si>
  <si>
    <t>05/23/2025</t>
  </si>
  <si>
    <t>1006</t>
  </si>
  <si>
    <t>06/04/2025</t>
  </si>
  <si>
    <t>1007</t>
  </si>
  <si>
    <t>John Melton</t>
  </si>
  <si>
    <t>06/09/2025</t>
  </si>
  <si>
    <t>1021</t>
  </si>
  <si>
    <t>1022</t>
  </si>
  <si>
    <t>Jeff's Jalopies</t>
  </si>
  <si>
    <t>06/14/2025</t>
  </si>
  <si>
    <t>Credit Memo</t>
  </si>
  <si>
    <t>1026</t>
  </si>
  <si>
    <t>Created by QB Online to link credits to charges.</t>
  </si>
  <si>
    <t>1017</t>
  </si>
  <si>
    <t>Sushi by Katsuyuki</t>
  </si>
  <si>
    <t>1012</t>
  </si>
  <si>
    <t>Shara Barnett:Barnett Design</t>
  </si>
  <si>
    <t>06/19/2025</t>
  </si>
  <si>
    <t>1004</t>
  </si>
  <si>
    <t>1013</t>
  </si>
  <si>
    <t>1005</t>
  </si>
  <si>
    <t>1018</t>
  </si>
  <si>
    <t>1001</t>
  </si>
  <si>
    <t>Front yard, hedges, and sidewalks</t>
  </si>
  <si>
    <t>1009</t>
  </si>
  <si>
    <t>Services</t>
  </si>
  <si>
    <t>1032</t>
  </si>
  <si>
    <t>6552</t>
  </si>
  <si>
    <t>5421</t>
  </si>
  <si>
    <t>1010</t>
  </si>
  <si>
    <t>Weiskopf Consulting</t>
  </si>
  <si>
    <t>1015</t>
  </si>
  <si>
    <t>Paulsen Medical Supplies</t>
  </si>
  <si>
    <t>1019</t>
  </si>
  <si>
    <t>1023</t>
  </si>
  <si>
    <t>1033</t>
  </si>
  <si>
    <t>Geeta Kalapatapu</t>
  </si>
  <si>
    <t>1034</t>
  </si>
  <si>
    <t>Rondonuwu Fruit and Vegi</t>
  </si>
  <si>
    <t>1035</t>
  </si>
  <si>
    <t>Mark Cho</t>
  </si>
  <si>
    <t>1036</t>
  </si>
  <si>
    <t>1037</t>
  </si>
  <si>
    <t>Sonnenschein Family Store</t>
  </si>
  <si>
    <t>Total for Accounts Receivable (A/R)</t>
  </si>
  <si>
    <t>1014</t>
  </si>
  <si>
    <t>Diego Rodriguez</t>
  </si>
  <si>
    <t>Total for Landscaping Services</t>
  </si>
  <si>
    <t>Job Materials</t>
  </si>
  <si>
    <t>06/21/2025</t>
  </si>
  <si>
    <t>22</t>
  </si>
  <si>
    <t>Total for Plants and Soil</t>
  </si>
  <si>
    <t>Fountains and Garden Lighting</t>
  </si>
  <si>
    <t>Total for Fountains and Garden Lighting</t>
  </si>
  <si>
    <t>Total for Sprinklers and Drip Systems</t>
  </si>
  <si>
    <t>Total for Job Materials with sub-accounts</t>
  </si>
  <si>
    <t>Labor</t>
  </si>
  <si>
    <t>Total for Maintenance and Repair</t>
  </si>
  <si>
    <t>Installation</t>
  </si>
  <si>
    <t>Total for Installation</t>
  </si>
  <si>
    <t>Total for Labor with sub-accounts</t>
  </si>
  <si>
    <t>Total for Landscaping Services with sub-accounts</t>
  </si>
  <si>
    <t>1011</t>
  </si>
  <si>
    <t>Total for Pest Control Services</t>
  </si>
  <si>
    <t>Board of Equalization Payable</t>
  </si>
  <si>
    <t>Total for Board of Equalization Payable</t>
  </si>
  <si>
    <t>Total for Undeposited Funds</t>
  </si>
  <si>
    <t>04/27/2025</t>
  </si>
  <si>
    <t>50</t>
  </si>
  <si>
    <t>Ellis Equipment Rental</t>
  </si>
  <si>
    <t>Equipment Rental</t>
  </si>
  <si>
    <t>Lee Advertising</t>
  </si>
  <si>
    <t>Advertising</t>
  </si>
  <si>
    <t>07/06/2025</t>
  </si>
  <si>
    <t>Credit Card Expense</t>
  </si>
  <si>
    <t>Bought lunch for crew 102</t>
  </si>
  <si>
    <t>07/07/2025</t>
  </si>
  <si>
    <t>07/13/2025</t>
  </si>
  <si>
    <t>07/26/2025</t>
  </si>
  <si>
    <t>Total for Mastercard</t>
  </si>
  <si>
    <t>Arizona Dept. of Revenue Payable</t>
  </si>
  <si>
    <t>Total for Arizona Dept. of Revenue Payable</t>
  </si>
  <si>
    <t>Total for Miscellaneous</t>
  </si>
  <si>
    <t>Total for Job Expenses</t>
  </si>
  <si>
    <t>Total for Decks and Patios</t>
  </si>
  <si>
    <t>Total for Job Expenses with sub-accounts</t>
  </si>
  <si>
    <t>Total for Design income</t>
  </si>
  <si>
    <t>Total for Rent or Lease</t>
  </si>
  <si>
    <t>Discounts given</t>
  </si>
  <si>
    <t>Total for Discounts given</t>
  </si>
  <si>
    <t>Sales of Product Income</t>
  </si>
  <si>
    <t>Total for Sales of Product Income</t>
  </si>
  <si>
    <t>Total for Services</t>
  </si>
  <si>
    <t>Total for Meals and Entertainment</t>
  </si>
  <si>
    <t>Total for Automobile</t>
  </si>
  <si>
    <t>Total for Fuel</t>
  </si>
  <si>
    <t>Total for Automobile with sub-accounts</t>
  </si>
  <si>
    <t>Total for Equipment Repairs</t>
  </si>
  <si>
    <t>Total for Maintenance and Repair with sub-accounts</t>
  </si>
  <si>
    <t>Total for Insurance</t>
  </si>
  <si>
    <t>Total for Office Expenses</t>
  </si>
  <si>
    <t>Total for Savings</t>
  </si>
  <si>
    <t>Loan Payable</t>
  </si>
  <si>
    <t>Total for Loan Payable</t>
  </si>
  <si>
    <t>Notes Payable</t>
  </si>
  <si>
    <t>Total for Notes Payable</t>
  </si>
  <si>
    <t>Total for Equipment Rental</t>
  </si>
  <si>
    <t>Total for Advertising</t>
  </si>
  <si>
    <t>Total for Inventory Asset</t>
  </si>
  <si>
    <t>Cost of Goods Sold</t>
  </si>
  <si>
    <t>Total for Cost of Goods Sold</t>
  </si>
  <si>
    <t>Total for Legal &amp; Professional Fees</t>
  </si>
  <si>
    <t>Total for Lawyer</t>
  </si>
  <si>
    <t>Total for Accounting</t>
  </si>
  <si>
    <t>Total for Bookkeeper</t>
  </si>
  <si>
    <t>Total for Legal &amp; Professional Fees with sub-accounts</t>
  </si>
  <si>
    <t>Utilities</t>
  </si>
  <si>
    <t>Total for Telephone</t>
  </si>
  <si>
    <t>Total for Gas and Electric</t>
  </si>
  <si>
    <t>Total for Utilities with sub-accounts</t>
  </si>
  <si>
    <t>Truck</t>
  </si>
  <si>
    <t>Original Cost</t>
  </si>
  <si>
    <t>Total for Original Cost</t>
  </si>
  <si>
    <t>Total for Truck with sub-accounts</t>
  </si>
  <si>
    <t>Retained Earnings</t>
  </si>
  <si>
    <t>Beginning Balance</t>
  </si>
  <si>
    <t>Total for Retained Earnings</t>
  </si>
  <si>
    <t>Distribution account</t>
  </si>
  <si>
    <t>Transaction date</t>
  </si>
  <si>
    <t>Transaction type</t>
  </si>
  <si>
    <t>Num</t>
  </si>
  <si>
    <t>Name</t>
  </si>
  <si>
    <t>Memo/Description</t>
  </si>
  <si>
    <t>Split account</t>
  </si>
  <si>
    <t>Amount</t>
  </si>
  <si>
    <t>Balance</t>
  </si>
  <si>
    <t>Accrual Basis Monday, September 08, 2025 07:48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</si>
</sst>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$#,##0.00"/>
    <numFmt numFmtId="178" formatCode="#,##0.00"/>
    <numFmt numFmtId="179" formatCode="MM/dd/yyyy hh:mm:ss a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6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9" fontId="0" fillId="0" borderId="0" xfId="0" applyNumberFormat="1"/>
    <xf numFmtId="179" fontId="3" fillId="0" borderId="0" xfId="0" applyNumberFormat="1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9" fontId="3" fillId="0" borderId="0" xfId="0" applyNumberFormat="1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453"/>
  <sheetViews>
    <sheetView tabSelected="1" workbookViewId="0" topLeftCell="A1"/>
  </sheetViews>
  <sheetFormatPr defaultColWidth="11.255" defaultRowHeight="16" outlineLevelRow="3"/>
  <cols>
    <col min="1" max="1" width="46.125" style="30" customWidth="1"/>
    <col min="2" max="2" width="28.125" style="30" customWidth="1"/>
    <col min="3" max="3" width="14.375" style="30" customWidth="1"/>
    <col min="4" max="4" width="23" style="30" customWidth="1"/>
    <col min="5" max="5" width="7.5" style="30" customWidth="1"/>
    <col min="6" max="6" width="37.625" style="30" customWidth="1"/>
    <col min="7" max="7" width="41.875" style="30" customWidth="1"/>
    <col min="8" max="8" width="23.875" style="30" customWidth="1"/>
    <col min="9" max="10" width="16.125" style="30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2:10" ht="16">
      <c r="B5" s="32" t="s">
        <v>291</v>
      </c>
      <c r="C5" s="32" t="s">
        <v>292</v>
      </c>
      <c r="D5" s="32" t="s">
        <v>293</v>
      </c>
      <c r="E5" s="32" t="s">
        <v>294</v>
      </c>
      <c r="F5" s="32" t="s">
        <v>295</v>
      </c>
      <c r="G5" s="32" t="s">
        <v>296</v>
      </c>
      <c r="H5" s="32" t="s">
        <v>297</v>
      </c>
      <c r="I5" s="32" t="s">
        <v>298</v>
      </c>
      <c r="J5" s="32" t="s">
        <v>299</v>
      </c>
    </row>
    <row r="6" spans="1:1" ht="16">
      <c r="A6" s="39" t="s">
        <v>3</v>
      </c>
    </row>
    <row r="7" spans="2:10" ht="16" outlineLevel="1">
      <c r="B7" s="29" t="s">
        <v>3</v>
      </c>
      <c r="C7" s="33" t="s">
        <v>4</v>
      </c>
      <c r="D7" s="29" t="s">
        <v>5</v>
      </c>
      <c r="E7" s="29" t="s">
        <v>6</v>
      </c>
      <c r="F7" s="29" t="s">
        <v>6</v>
      </c>
      <c r="G7" s="29" t="s">
        <v>7</v>
      </c>
      <c r="H7" s="29" t="s">
        <v>8</v>
      </c>
      <c r="I7" s="34">
        <v>5000.0</v>
      </c>
      <c r="J7" s="34">
        <v>5000.0</v>
      </c>
    </row>
    <row r="8" spans="2:10" ht="16" outlineLevel="1">
      <c r="B8" s="29" t="s">
        <v>3</v>
      </c>
      <c r="C8" s="33" t="s">
        <v>9</v>
      </c>
      <c r="D8" s="29" t="s">
        <v>10</v>
      </c>
      <c r="E8" s="29" t="s">
        <v>11</v>
      </c>
      <c r="F8" s="29" t="s">
        <v>12</v>
      </c>
      <c r="G8" s="29" t="s">
        <v>6</v>
      </c>
      <c r="H8" s="29" t="s">
        <v>13</v>
      </c>
      <c r="I8" s="34">
        <v>-300.0</v>
      </c>
      <c r="J8" s="34">
        <v>4700.0</v>
      </c>
    </row>
    <row r="9" spans="2:10" ht="16" outlineLevel="1">
      <c r="B9" s="29" t="s">
        <v>3</v>
      </c>
      <c r="C9" s="33" t="s">
        <v>14</v>
      </c>
      <c r="D9" s="29" t="s">
        <v>15</v>
      </c>
      <c r="E9" s="29" t="s">
        <v>16</v>
      </c>
      <c r="F9" s="29" t="s">
        <v>17</v>
      </c>
      <c r="G9" s="29" t="s">
        <v>6</v>
      </c>
      <c r="H9" s="29" t="s">
        <v>18</v>
      </c>
      <c r="I9" s="34">
        <v>175.0</v>
      </c>
      <c r="J9" s="34">
        <v>4875.0</v>
      </c>
    </row>
    <row r="10" spans="2:10" ht="16" outlineLevel="1">
      <c r="B10" s="29" t="s">
        <v>3</v>
      </c>
      <c r="C10" s="33" t="s">
        <v>19</v>
      </c>
      <c r="D10" s="29" t="s">
        <v>20</v>
      </c>
      <c r="E10" s="29" t="s">
        <v>21</v>
      </c>
      <c r="F10" s="29" t="s">
        <v>12</v>
      </c>
      <c r="G10" s="29" t="s">
        <v>6</v>
      </c>
      <c r="H10" s="29" t="s">
        <v>22</v>
      </c>
      <c r="I10" s="34">
        <v>-250.0</v>
      </c>
      <c r="J10" s="34">
        <v>4625.0</v>
      </c>
    </row>
    <row r="11" spans="2:10" ht="16" outlineLevel="1">
      <c r="B11" s="29" t="s">
        <v>3</v>
      </c>
      <c r="C11" s="33" t="s">
        <v>23</v>
      </c>
      <c r="D11" s="29" t="s">
        <v>24</v>
      </c>
      <c r="E11" s="29" t="s">
        <v>25</v>
      </c>
      <c r="F11" s="29" t="s">
        <v>26</v>
      </c>
      <c r="G11" s="29" t="s">
        <v>6</v>
      </c>
      <c r="H11" s="29" t="s">
        <v>27</v>
      </c>
      <c r="I11" s="34">
        <v>-54.55</v>
      </c>
      <c r="J11" s="34">
        <v>4570.45</v>
      </c>
    </row>
    <row r="12" spans="2:10" ht="16" outlineLevel="1">
      <c r="B12" s="29" t="s">
        <v>3</v>
      </c>
      <c r="C12" s="33" t="s">
        <v>28</v>
      </c>
      <c r="D12" s="29" t="s">
        <v>29</v>
      </c>
      <c r="E12" s="29" t="s">
        <v>6</v>
      </c>
      <c r="F12" s="29" t="s">
        <v>6</v>
      </c>
      <c r="G12" s="29" t="s">
        <v>30</v>
      </c>
      <c r="H12" s="29" t="s">
        <v>6</v>
      </c>
      <c r="I12" s="34">
        <v>-38.4</v>
      </c>
      <c r="J12" s="34">
        <v>4532.05</v>
      </c>
    </row>
    <row r="13" spans="2:10" ht="16" outlineLevel="1">
      <c r="B13" s="29" t="s">
        <v>3</v>
      </c>
      <c r="C13" s="33" t="s">
        <v>28</v>
      </c>
      <c r="D13" s="29" t="s">
        <v>29</v>
      </c>
      <c r="E13" s="29" t="s">
        <v>6</v>
      </c>
      <c r="F13" s="29" t="s">
        <v>6</v>
      </c>
      <c r="G13" s="29" t="s">
        <v>30</v>
      </c>
      <c r="H13" s="29" t="s">
        <v>6</v>
      </c>
      <c r="I13" s="34">
        <v>-38.5</v>
      </c>
      <c r="J13" s="34">
        <v>4493.55</v>
      </c>
    </row>
    <row r="14" spans="2:10" ht="16" outlineLevel="1">
      <c r="B14" s="29" t="s">
        <v>3</v>
      </c>
      <c r="C14" s="33" t="s">
        <v>31</v>
      </c>
      <c r="D14" s="29" t="s">
        <v>20</v>
      </c>
      <c r="E14" s="29" t="s">
        <v>32</v>
      </c>
      <c r="F14" s="29" t="s">
        <v>33</v>
      </c>
      <c r="G14" s="29" t="s">
        <v>6</v>
      </c>
      <c r="H14" s="29" t="s">
        <v>34</v>
      </c>
      <c r="I14" s="34">
        <v>-89.09</v>
      </c>
      <c r="J14" s="34">
        <v>4404.46</v>
      </c>
    </row>
    <row r="15" spans="2:10" ht="16" outlineLevel="1">
      <c r="B15" s="29" t="s">
        <v>3</v>
      </c>
      <c r="C15" s="33" t="s">
        <v>31</v>
      </c>
      <c r="D15" s="29" t="s">
        <v>24</v>
      </c>
      <c r="E15" s="29" t="s">
        <v>21</v>
      </c>
      <c r="F15" s="29" t="s">
        <v>35</v>
      </c>
      <c r="G15" s="29" t="s">
        <v>6</v>
      </c>
      <c r="H15" s="29" t="s">
        <v>36</v>
      </c>
      <c r="I15" s="34">
        <v>-55.0</v>
      </c>
      <c r="J15" s="34">
        <v>4349.46</v>
      </c>
    </row>
    <row r="16" spans="2:10" ht="16" outlineLevel="1">
      <c r="B16" s="29" t="s">
        <v>3</v>
      </c>
      <c r="C16" s="33" t="s">
        <v>37</v>
      </c>
      <c r="D16" s="29" t="s">
        <v>24</v>
      </c>
      <c r="E16" s="29" t="s">
        <v>38</v>
      </c>
      <c r="F16" s="29" t="s">
        <v>26</v>
      </c>
      <c r="G16" s="29" t="s">
        <v>6</v>
      </c>
      <c r="H16" s="29" t="s">
        <v>27</v>
      </c>
      <c r="I16" s="34">
        <v>-62.01</v>
      </c>
      <c r="J16" s="34">
        <v>4287.45</v>
      </c>
    </row>
    <row r="17" spans="2:10" ht="16" outlineLevel="1">
      <c r="B17" s="29" t="s">
        <v>3</v>
      </c>
      <c r="C17" s="33" t="s">
        <v>39</v>
      </c>
      <c r="D17" s="29" t="s">
        <v>20</v>
      </c>
      <c r="E17" s="29" t="s">
        <v>40</v>
      </c>
      <c r="F17" s="29" t="s">
        <v>33</v>
      </c>
      <c r="G17" s="29" t="s">
        <v>6</v>
      </c>
      <c r="H17" s="29" t="s">
        <v>41</v>
      </c>
      <c r="I17" s="34">
        <v>-108.09</v>
      </c>
      <c r="J17" s="34">
        <v>4179.36</v>
      </c>
    </row>
    <row r="18" spans="2:10" ht="16" outlineLevel="1">
      <c r="B18" s="29" t="s">
        <v>3</v>
      </c>
      <c r="C18" s="33" t="s">
        <v>42</v>
      </c>
      <c r="D18" s="29" t="s">
        <v>15</v>
      </c>
      <c r="E18" s="29" t="s">
        <v>43</v>
      </c>
      <c r="F18" s="29" t="s">
        <v>44</v>
      </c>
      <c r="G18" s="29" t="s">
        <v>6</v>
      </c>
      <c r="H18" s="29" t="s">
        <v>18</v>
      </c>
      <c r="I18" s="34">
        <v>86.4</v>
      </c>
      <c r="J18" s="34">
        <v>4265.759999999999</v>
      </c>
    </row>
    <row r="19" spans="2:10" ht="16" outlineLevel="1">
      <c r="B19" s="29" t="s">
        <v>3</v>
      </c>
      <c r="C19" s="33" t="s">
        <v>42</v>
      </c>
      <c r="D19" s="29" t="s">
        <v>45</v>
      </c>
      <c r="E19" s="29" t="s">
        <v>46</v>
      </c>
      <c r="F19" s="29" t="s">
        <v>47</v>
      </c>
      <c r="G19" s="29" t="s">
        <v>6</v>
      </c>
      <c r="H19" s="29" t="s">
        <v>48</v>
      </c>
      <c r="I19" s="34">
        <v>225.0</v>
      </c>
      <c r="J19" s="34">
        <v>4490.759999999999</v>
      </c>
    </row>
    <row r="20" spans="2:10" ht="16" outlineLevel="1">
      <c r="B20" s="29" t="s">
        <v>3</v>
      </c>
      <c r="C20" s="33" t="s">
        <v>49</v>
      </c>
      <c r="D20" s="29" t="s">
        <v>15</v>
      </c>
      <c r="E20" s="29" t="s">
        <v>6</v>
      </c>
      <c r="F20" s="29" t="s">
        <v>50</v>
      </c>
      <c r="G20" s="29" t="s">
        <v>51</v>
      </c>
      <c r="H20" s="29" t="s">
        <v>18</v>
      </c>
      <c r="I20" s="34">
        <v>105.0</v>
      </c>
      <c r="J20" s="34">
        <v>4595.759999999999</v>
      </c>
    </row>
    <row r="21" spans="2:10" ht="16" outlineLevel="1">
      <c r="B21" s="29" t="s">
        <v>3</v>
      </c>
      <c r="C21" s="33" t="s">
        <v>52</v>
      </c>
      <c r="D21" s="29" t="s">
        <v>10</v>
      </c>
      <c r="E21" s="29" t="s">
        <v>53</v>
      </c>
      <c r="F21" s="29" t="s">
        <v>54</v>
      </c>
      <c r="G21" s="29" t="s">
        <v>6</v>
      </c>
      <c r="H21" s="29" t="s">
        <v>13</v>
      </c>
      <c r="I21" s="34">
        <v>-250.0</v>
      </c>
      <c r="J21" s="34">
        <v>4345.759999999999</v>
      </c>
    </row>
    <row r="22" spans="2:10" ht="16" outlineLevel="1">
      <c r="B22" s="29" t="s">
        <v>3</v>
      </c>
      <c r="C22" s="33" t="s">
        <v>55</v>
      </c>
      <c r="D22" s="29" t="s">
        <v>20</v>
      </c>
      <c r="E22" s="29" t="s">
        <v>56</v>
      </c>
      <c r="F22" s="29" t="s">
        <v>54</v>
      </c>
      <c r="G22" s="29" t="s">
        <v>6</v>
      </c>
      <c r="H22" s="29" t="s">
        <v>34</v>
      </c>
      <c r="I22" s="34">
        <v>-24.36</v>
      </c>
      <c r="J22" s="34">
        <v>4321.4</v>
      </c>
    </row>
    <row r="23" spans="2:10" ht="16" outlineLevel="1">
      <c r="B23" s="29" t="s">
        <v>3</v>
      </c>
      <c r="C23" s="33" t="s">
        <v>57</v>
      </c>
      <c r="D23" s="29" t="s">
        <v>24</v>
      </c>
      <c r="E23" s="29" t="s">
        <v>6</v>
      </c>
      <c r="F23" s="29" t="s">
        <v>58</v>
      </c>
      <c r="G23" s="29" t="s">
        <v>6</v>
      </c>
      <c r="H23" s="29" t="s">
        <v>59</v>
      </c>
      <c r="I23" s="34">
        <v>-100.0</v>
      </c>
      <c r="J23" s="34">
        <v>4221.4</v>
      </c>
    </row>
    <row r="24" spans="2:10" ht="16" outlineLevel="1">
      <c r="B24" s="29" t="s">
        <v>3</v>
      </c>
      <c r="C24" s="33" t="s">
        <v>57</v>
      </c>
      <c r="D24" s="29" t="s">
        <v>60</v>
      </c>
      <c r="E24" s="29" t="s">
        <v>6</v>
      </c>
      <c r="F24" s="29" t="s">
        <v>61</v>
      </c>
      <c r="G24" s="29" t="s">
        <v>6</v>
      </c>
      <c r="H24" s="29" t="s">
        <v>62</v>
      </c>
      <c r="I24" s="34">
        <v>-5.66</v>
      </c>
      <c r="J24" s="34">
        <v>4215.74</v>
      </c>
    </row>
    <row r="25" spans="2:10" ht="16" outlineLevel="1">
      <c r="B25" s="29" t="s">
        <v>3</v>
      </c>
      <c r="C25" s="33" t="s">
        <v>57</v>
      </c>
      <c r="D25" s="29" t="s">
        <v>60</v>
      </c>
      <c r="E25" s="29" t="s">
        <v>6</v>
      </c>
      <c r="F25" s="29" t="s">
        <v>63</v>
      </c>
      <c r="G25" s="29" t="s">
        <v>6</v>
      </c>
      <c r="H25" s="29" t="s">
        <v>64</v>
      </c>
      <c r="I25" s="34">
        <v>-19.99</v>
      </c>
      <c r="J25" s="34">
        <v>4195.75</v>
      </c>
    </row>
    <row r="26" spans="2:10" ht="16" outlineLevel="1">
      <c r="B26" s="29" t="s">
        <v>3</v>
      </c>
      <c r="C26" s="33" t="s">
        <v>65</v>
      </c>
      <c r="D26" s="29" t="s">
        <v>60</v>
      </c>
      <c r="E26" s="29" t="s">
        <v>6</v>
      </c>
      <c r="F26" s="29" t="s">
        <v>26</v>
      </c>
      <c r="G26" s="29" t="s">
        <v>6</v>
      </c>
      <c r="H26" s="29" t="s">
        <v>27</v>
      </c>
      <c r="I26" s="34">
        <v>-52.14</v>
      </c>
      <c r="J26" s="34">
        <v>4143.61</v>
      </c>
    </row>
    <row r="27" spans="2:10" ht="16" outlineLevel="1">
      <c r="B27" s="29" t="s">
        <v>3</v>
      </c>
      <c r="C27" s="33" t="s">
        <v>65</v>
      </c>
      <c r="D27" s="29" t="s">
        <v>24</v>
      </c>
      <c r="E27" s="29" t="s">
        <v>66</v>
      </c>
      <c r="F27" s="29" t="s">
        <v>26</v>
      </c>
      <c r="G27" s="29" t="s">
        <v>6</v>
      </c>
      <c r="H27" s="29" t="s">
        <v>67</v>
      </c>
      <c r="I27" s="34">
        <v>-185.0</v>
      </c>
      <c r="J27" s="34">
        <v>3958.6099999999997</v>
      </c>
    </row>
    <row r="28" spans="2:10" ht="16" outlineLevel="1">
      <c r="B28" s="29" t="s">
        <v>3</v>
      </c>
      <c r="C28" s="33" t="s">
        <v>68</v>
      </c>
      <c r="D28" s="29" t="s">
        <v>15</v>
      </c>
      <c r="E28" s="29" t="s">
        <v>69</v>
      </c>
      <c r="F28" s="29" t="s">
        <v>70</v>
      </c>
      <c r="G28" s="29" t="s">
        <v>6</v>
      </c>
      <c r="H28" s="29" t="s">
        <v>18</v>
      </c>
      <c r="I28" s="34">
        <v>694.0</v>
      </c>
      <c r="J28" s="34">
        <v>4652.61</v>
      </c>
    </row>
    <row r="29" spans="2:10" ht="16" outlineLevel="1">
      <c r="B29" s="29" t="s">
        <v>3</v>
      </c>
      <c r="C29" s="33" t="s">
        <v>68</v>
      </c>
      <c r="D29" s="29" t="s">
        <v>10</v>
      </c>
      <c r="E29" s="29" t="s">
        <v>71</v>
      </c>
      <c r="F29" s="29" t="s">
        <v>72</v>
      </c>
      <c r="G29" s="29" t="s">
        <v>6</v>
      </c>
      <c r="H29" s="29" t="s">
        <v>13</v>
      </c>
      <c r="I29" s="34">
        <v>-900.0</v>
      </c>
      <c r="J29" s="34">
        <v>3752.6099999999997</v>
      </c>
    </row>
    <row r="30" spans="2:10" ht="16" outlineLevel="1">
      <c r="B30" s="29" t="s">
        <v>3</v>
      </c>
      <c r="C30" s="33" t="s">
        <v>73</v>
      </c>
      <c r="D30" s="29" t="s">
        <v>24</v>
      </c>
      <c r="E30" s="29" t="s">
        <v>74</v>
      </c>
      <c r="F30" s="29" t="s">
        <v>75</v>
      </c>
      <c r="G30" s="29" t="s">
        <v>6</v>
      </c>
      <c r="H30" s="29" t="s">
        <v>76</v>
      </c>
      <c r="I30" s="34">
        <v>-18.08</v>
      </c>
      <c r="J30" s="34">
        <v>3734.5299999999997</v>
      </c>
    </row>
    <row r="31" spans="2:10" ht="16" outlineLevel="1">
      <c r="B31" s="29" t="s">
        <v>3</v>
      </c>
      <c r="C31" s="33" t="s">
        <v>73</v>
      </c>
      <c r="D31" s="29" t="s">
        <v>20</v>
      </c>
      <c r="E31" s="29" t="s">
        <v>77</v>
      </c>
      <c r="F31" s="29" t="s">
        <v>54</v>
      </c>
      <c r="G31" s="29" t="s">
        <v>6</v>
      </c>
      <c r="H31" s="29" t="s">
        <v>78</v>
      </c>
      <c r="I31" s="34">
        <v>-215.66</v>
      </c>
      <c r="J31" s="34">
        <v>3518.87</v>
      </c>
    </row>
    <row r="32" spans="2:10" ht="16" outlineLevel="1">
      <c r="B32" s="29" t="s">
        <v>3</v>
      </c>
      <c r="C32" s="33" t="s">
        <v>79</v>
      </c>
      <c r="D32" s="29" t="s">
        <v>45</v>
      </c>
      <c r="E32" s="29" t="s">
        <v>80</v>
      </c>
      <c r="F32" s="29" t="s">
        <v>81</v>
      </c>
      <c r="G32" s="29" t="s">
        <v>6</v>
      </c>
      <c r="H32" s="29" t="s">
        <v>48</v>
      </c>
      <c r="I32" s="34">
        <v>337.5</v>
      </c>
      <c r="J32" s="34">
        <v>3856.37</v>
      </c>
    </row>
    <row r="33" spans="2:10" ht="16" outlineLevel="1">
      <c r="B33" s="29" t="s">
        <v>3</v>
      </c>
      <c r="C33" s="33" t="s">
        <v>82</v>
      </c>
      <c r="D33" s="29" t="s">
        <v>60</v>
      </c>
      <c r="E33" s="29" t="s">
        <v>6</v>
      </c>
      <c r="F33" s="29" t="s">
        <v>61</v>
      </c>
      <c r="G33" s="29" t="s">
        <v>6</v>
      </c>
      <c r="H33" s="29" t="s">
        <v>62</v>
      </c>
      <c r="I33" s="34">
        <v>-3.86</v>
      </c>
      <c r="J33" s="34">
        <v>3852.5099999999998</v>
      </c>
    </row>
    <row r="34" spans="2:10" ht="16" outlineLevel="1">
      <c r="B34" s="29" t="s">
        <v>3</v>
      </c>
      <c r="C34" s="33" t="s">
        <v>83</v>
      </c>
      <c r="D34" s="29" t="s">
        <v>10</v>
      </c>
      <c r="E34" s="29" t="s">
        <v>84</v>
      </c>
      <c r="F34" s="29" t="s">
        <v>85</v>
      </c>
      <c r="G34" s="29" t="s">
        <v>6</v>
      </c>
      <c r="H34" s="29" t="s">
        <v>13</v>
      </c>
      <c r="I34" s="34">
        <v>-2000.0</v>
      </c>
      <c r="J34" s="34">
        <v>1852.5099999999998</v>
      </c>
    </row>
    <row r="35" spans="2:10" ht="16" outlineLevel="1">
      <c r="B35" s="29" t="s">
        <v>3</v>
      </c>
      <c r="C35" s="33" t="s">
        <v>86</v>
      </c>
      <c r="D35" s="29" t="s">
        <v>15</v>
      </c>
      <c r="E35" s="29" t="s">
        <v>6</v>
      </c>
      <c r="F35" s="29" t="s">
        <v>44</v>
      </c>
      <c r="G35" s="29" t="s">
        <v>6</v>
      </c>
      <c r="H35" s="29" t="s">
        <v>18</v>
      </c>
      <c r="I35" s="34">
        <v>50.0</v>
      </c>
      <c r="J35" s="34">
        <v>1902.5099999999998</v>
      </c>
    </row>
    <row r="36" spans="2:10" ht="16" outlineLevel="1">
      <c r="B36" s="29" t="s">
        <v>3</v>
      </c>
      <c r="C36" s="33" t="s">
        <v>86</v>
      </c>
      <c r="D36" s="29" t="s">
        <v>10</v>
      </c>
      <c r="E36" s="29" t="s">
        <v>87</v>
      </c>
      <c r="F36" s="29" t="s">
        <v>35</v>
      </c>
      <c r="G36" s="29" t="s">
        <v>6</v>
      </c>
      <c r="H36" s="29" t="s">
        <v>13</v>
      </c>
      <c r="I36" s="34">
        <v>-75.0</v>
      </c>
      <c r="J36" s="34">
        <v>1827.5099999999998</v>
      </c>
    </row>
    <row r="37" spans="2:10" ht="16" outlineLevel="1">
      <c r="B37" s="29" t="s">
        <v>3</v>
      </c>
      <c r="C37" s="33" t="s">
        <v>86</v>
      </c>
      <c r="D37" s="29" t="s">
        <v>15</v>
      </c>
      <c r="E37" s="29" t="s">
        <v>88</v>
      </c>
      <c r="F37" s="29" t="s">
        <v>89</v>
      </c>
      <c r="G37" s="29" t="s">
        <v>6</v>
      </c>
      <c r="H37" s="29" t="s">
        <v>18</v>
      </c>
      <c r="I37" s="34">
        <v>103.55</v>
      </c>
      <c r="J37" s="34">
        <v>1931.0599999999997</v>
      </c>
    </row>
    <row r="38" spans="2:10" ht="16" outlineLevel="1">
      <c r="B38" s="29" t="s">
        <v>3</v>
      </c>
      <c r="C38" s="33" t="s">
        <v>86</v>
      </c>
      <c r="D38" s="29" t="s">
        <v>5</v>
      </c>
      <c r="E38" s="29" t="s">
        <v>6</v>
      </c>
      <c r="F38" s="29" t="s">
        <v>6</v>
      </c>
      <c r="G38" s="29" t="s">
        <v>6</v>
      </c>
      <c r="H38" s="29" t="s">
        <v>6</v>
      </c>
      <c r="I38" s="34">
        <v>218.75</v>
      </c>
      <c r="J38" s="34">
        <v>2149.8099999999995</v>
      </c>
    </row>
    <row r="39" spans="2:10" ht="16" outlineLevel="1">
      <c r="B39" s="29" t="s">
        <v>3</v>
      </c>
      <c r="C39" s="33" t="s">
        <v>86</v>
      </c>
      <c r="D39" s="29" t="s">
        <v>90</v>
      </c>
      <c r="E39" s="29" t="s">
        <v>91</v>
      </c>
      <c r="F39" s="29" t="s">
        <v>92</v>
      </c>
      <c r="G39" s="29" t="s">
        <v>6</v>
      </c>
      <c r="H39" s="29" t="s">
        <v>93</v>
      </c>
      <c r="I39" s="34">
        <v>-87.5</v>
      </c>
      <c r="J39" s="34">
        <v>2062.3099999999995</v>
      </c>
    </row>
    <row r="40" spans="2:10" ht="16" outlineLevel="1">
      <c r="B40" s="29" t="s">
        <v>3</v>
      </c>
      <c r="C40" s="33" t="s">
        <v>86</v>
      </c>
      <c r="D40" s="29" t="s">
        <v>24</v>
      </c>
      <c r="E40" s="29" t="s">
        <v>94</v>
      </c>
      <c r="F40" s="29" t="s">
        <v>63</v>
      </c>
      <c r="G40" s="29" t="s">
        <v>6</v>
      </c>
      <c r="H40" s="29" t="s">
        <v>64</v>
      </c>
      <c r="I40" s="34">
        <v>-19.99</v>
      </c>
      <c r="J40" s="34">
        <v>2042.3199999999995</v>
      </c>
    </row>
    <row r="41" spans="2:10" ht="16" outlineLevel="1">
      <c r="B41" s="29" t="s">
        <v>3</v>
      </c>
      <c r="C41" s="33" t="s">
        <v>95</v>
      </c>
      <c r="D41" s="29" t="s">
        <v>10</v>
      </c>
      <c r="E41" s="29" t="s">
        <v>96</v>
      </c>
      <c r="F41" s="29" t="s">
        <v>97</v>
      </c>
      <c r="G41" s="29" t="s">
        <v>6</v>
      </c>
      <c r="H41" s="29" t="s">
        <v>13</v>
      </c>
      <c r="I41" s="34">
        <v>-114.09</v>
      </c>
      <c r="J41" s="34">
        <v>1928.2299999999996</v>
      </c>
    </row>
    <row r="42" spans="2:10" ht="16" outlineLevel="1">
      <c r="B42" s="29" t="s">
        <v>3</v>
      </c>
      <c r="C42" s="33" t="s">
        <v>95</v>
      </c>
      <c r="D42" s="29" t="s">
        <v>10</v>
      </c>
      <c r="E42" s="29" t="s">
        <v>98</v>
      </c>
      <c r="F42" s="29" t="s">
        <v>99</v>
      </c>
      <c r="G42" s="29" t="s">
        <v>6</v>
      </c>
      <c r="H42" s="29" t="s">
        <v>13</v>
      </c>
      <c r="I42" s="34">
        <v>-666.0</v>
      </c>
      <c r="J42" s="34">
        <v>1262.2299999999996</v>
      </c>
    </row>
    <row r="43" spans="2:10" ht="16" outlineLevel="1">
      <c r="B43" s="29" t="s">
        <v>3</v>
      </c>
      <c r="C43" s="33" t="s">
        <v>95</v>
      </c>
      <c r="D43" s="29" t="s">
        <v>20</v>
      </c>
      <c r="E43" s="29" t="s">
        <v>100</v>
      </c>
      <c r="F43" s="29" t="s">
        <v>33</v>
      </c>
      <c r="G43" s="29" t="s">
        <v>6</v>
      </c>
      <c r="H43" s="29" t="s">
        <v>41</v>
      </c>
      <c r="I43" s="34">
        <v>-46.98</v>
      </c>
      <c r="J43" s="34">
        <v>1215.2499999999995</v>
      </c>
    </row>
    <row r="44" spans="2:10" ht="16" outlineLevel="1">
      <c r="B44" s="29" t="s">
        <v>3</v>
      </c>
      <c r="C44" s="33" t="s">
        <v>95</v>
      </c>
      <c r="D44" s="29" t="s">
        <v>5</v>
      </c>
      <c r="E44" s="29" t="s">
        <v>6</v>
      </c>
      <c r="F44" s="29" t="s">
        <v>6</v>
      </c>
      <c r="G44" s="29" t="s">
        <v>6</v>
      </c>
      <c r="H44" s="29" t="s">
        <v>6</v>
      </c>
      <c r="I44" s="34">
        <v>408.0</v>
      </c>
      <c r="J44" s="34">
        <v>1623.2499999999995</v>
      </c>
    </row>
    <row r="45" spans="2:10" ht="16" outlineLevel="1">
      <c r="B45" s="29" t="s">
        <v>3</v>
      </c>
      <c r="C45" s="33" t="s">
        <v>95</v>
      </c>
      <c r="D45" s="29" t="s">
        <v>60</v>
      </c>
      <c r="E45" s="29" t="s">
        <v>6</v>
      </c>
      <c r="F45" s="29" t="s">
        <v>26</v>
      </c>
      <c r="G45" s="29" t="s">
        <v>6</v>
      </c>
      <c r="H45" s="29" t="s">
        <v>27</v>
      </c>
      <c r="I45" s="34">
        <v>-63.15</v>
      </c>
      <c r="J45" s="34">
        <v>1560.0999999999995</v>
      </c>
    </row>
    <row r="46" spans="2:10" ht="16" outlineLevel="1">
      <c r="B46" s="29" t="s">
        <v>3</v>
      </c>
      <c r="C46" s="33" t="s">
        <v>101</v>
      </c>
      <c r="D46" s="29" t="s">
        <v>24</v>
      </c>
      <c r="E46" s="29" t="s">
        <v>102</v>
      </c>
      <c r="F46" s="29" t="s">
        <v>54</v>
      </c>
      <c r="G46" s="29" t="s">
        <v>6</v>
      </c>
      <c r="H46" s="29" t="s">
        <v>6</v>
      </c>
      <c r="I46" s="34">
        <v>-228.75</v>
      </c>
      <c r="J46" s="34">
        <v>1331.3499999999995</v>
      </c>
    </row>
    <row r="47" spans="2:10" ht="16" outlineLevel="1">
      <c r="B47" s="29" t="s">
        <v>3</v>
      </c>
      <c r="C47" s="33" t="s">
        <v>101</v>
      </c>
      <c r="D47" s="29" t="s">
        <v>5</v>
      </c>
      <c r="E47" s="29" t="s">
        <v>6</v>
      </c>
      <c r="F47" s="29" t="s">
        <v>6</v>
      </c>
      <c r="G47" s="29" t="s">
        <v>6</v>
      </c>
      <c r="H47" s="29" t="s">
        <v>6</v>
      </c>
      <c r="I47" s="34">
        <v>868.15</v>
      </c>
      <c r="J47" s="34">
        <v>2199.4999999999995</v>
      </c>
    </row>
    <row r="48" spans="2:10" ht="16" outlineLevel="1">
      <c r="B48" s="29" t="s">
        <v>3</v>
      </c>
      <c r="C48" s="33" t="s">
        <v>101</v>
      </c>
      <c r="D48" s="29" t="s">
        <v>20</v>
      </c>
      <c r="E48" s="29" t="s">
        <v>103</v>
      </c>
      <c r="F48" s="29" t="s">
        <v>104</v>
      </c>
      <c r="G48" s="29" t="s">
        <v>6</v>
      </c>
      <c r="H48" s="29" t="s">
        <v>105</v>
      </c>
      <c r="I48" s="34">
        <v>-75.0</v>
      </c>
      <c r="J48" s="34">
        <v>2124.4999999999995</v>
      </c>
    </row>
    <row r="49" spans="2:10" ht="16" outlineLevel="1">
      <c r="B49" s="29" t="s">
        <v>3</v>
      </c>
      <c r="C49" s="33" t="s">
        <v>106</v>
      </c>
      <c r="D49" s="29" t="s">
        <v>60</v>
      </c>
      <c r="E49" s="29" t="s">
        <v>6</v>
      </c>
      <c r="F49" s="29" t="s">
        <v>33</v>
      </c>
      <c r="G49" s="29" t="s">
        <v>6</v>
      </c>
      <c r="H49" s="29" t="s">
        <v>34</v>
      </c>
      <c r="I49" s="34">
        <v>-23.5</v>
      </c>
      <c r="J49" s="34">
        <v>2100.9999999999995</v>
      </c>
    </row>
    <row r="50" spans="2:10" ht="16" outlineLevel="1">
      <c r="B50" s="29" t="s">
        <v>3</v>
      </c>
      <c r="C50" s="33" t="s">
        <v>107</v>
      </c>
      <c r="D50" s="29" t="s">
        <v>108</v>
      </c>
      <c r="E50" s="29" t="s">
        <v>6</v>
      </c>
      <c r="F50" s="29" t="s">
        <v>6</v>
      </c>
      <c r="G50" s="29" t="s">
        <v>109</v>
      </c>
      <c r="H50" s="29" t="s">
        <v>110</v>
      </c>
      <c r="I50" s="34">
        <v>-900.0</v>
      </c>
      <c r="J50" s="34">
        <v>1200.9999999999995</v>
      </c>
    </row>
    <row r="51" spans="1:9" ht="16">
      <c r="A51" s="40" t="s">
        <v>111</v>
      </c>
      <c r="I51" s="35">
        <v>1200.9999999999995</v>
      </c>
    </row>
    <row r="52" spans="1:1" ht="16">
      <c r="A52" s="39" t="s">
        <v>8</v>
      </c>
    </row>
    <row r="53" spans="2:10" ht="16" outlineLevel="1">
      <c r="B53" s="29" t="s">
        <v>8</v>
      </c>
      <c r="C53" s="33" t="s">
        <v>4</v>
      </c>
      <c r="D53" s="29" t="s">
        <v>5</v>
      </c>
      <c r="E53" s="29" t="s">
        <v>6</v>
      </c>
      <c r="F53" s="29" t="s">
        <v>6</v>
      </c>
      <c r="G53" s="29" t="s">
        <v>7</v>
      </c>
      <c r="H53" s="29" t="s">
        <v>3</v>
      </c>
      <c r="I53" s="34">
        <v>5000.0</v>
      </c>
      <c r="J53" s="34">
        <v>5000.0</v>
      </c>
    </row>
    <row r="54" spans="2:10" ht="16" outlineLevel="1">
      <c r="B54" s="29" t="s">
        <v>8</v>
      </c>
      <c r="C54" s="33" t="s">
        <v>112</v>
      </c>
      <c r="D54" s="29" t="s">
        <v>113</v>
      </c>
      <c r="E54" s="29" t="s">
        <v>6</v>
      </c>
      <c r="F54" s="29" t="s">
        <v>6</v>
      </c>
      <c r="G54" s="29" t="s">
        <v>7</v>
      </c>
      <c r="H54" s="29" t="s">
        <v>6</v>
      </c>
      <c r="I54" s="34">
        <v>13495.0</v>
      </c>
      <c r="J54" s="34">
        <v>18495.0</v>
      </c>
    </row>
    <row r="55" spans="2:10" ht="16" outlineLevel="1">
      <c r="B55" s="29" t="s">
        <v>8</v>
      </c>
      <c r="C55" s="33" t="s">
        <v>82</v>
      </c>
      <c r="D55" s="29" t="s">
        <v>5</v>
      </c>
      <c r="E55" s="29" t="s">
        <v>6</v>
      </c>
      <c r="F55" s="29" t="s">
        <v>6</v>
      </c>
      <c r="G55" s="29" t="s">
        <v>7</v>
      </c>
      <c r="H55" s="29" t="s">
        <v>114</v>
      </c>
      <c r="I55" s="34">
        <v>600.0</v>
      </c>
      <c r="J55" s="34">
        <v>19095.0</v>
      </c>
    </row>
    <row r="56" spans="2:10" ht="16" outlineLevel="1">
      <c r="B56" s="29" t="s">
        <v>8</v>
      </c>
      <c r="C56" s="33" t="s">
        <v>83</v>
      </c>
      <c r="D56" s="29" t="s">
        <v>113</v>
      </c>
      <c r="E56" s="29" t="s">
        <v>6</v>
      </c>
      <c r="F56" s="29" t="s">
        <v>6</v>
      </c>
      <c r="G56" s="29" t="s">
        <v>7</v>
      </c>
      <c r="H56" s="29" t="s">
        <v>6</v>
      </c>
      <c r="I56" s="34">
        <v>-4000.0</v>
      </c>
      <c r="J56" s="34">
        <v>15095.0</v>
      </c>
    </row>
    <row r="57" spans="2:10" ht="16" outlineLevel="1">
      <c r="B57" s="29" t="s">
        <v>8</v>
      </c>
      <c r="C57" s="33" t="s">
        <v>83</v>
      </c>
      <c r="D57" s="29" t="s">
        <v>113</v>
      </c>
      <c r="E57" s="29" t="s">
        <v>6</v>
      </c>
      <c r="F57" s="29" t="s">
        <v>6</v>
      </c>
      <c r="G57" s="29" t="s">
        <v>7</v>
      </c>
      <c r="H57" s="29" t="s">
        <v>6</v>
      </c>
      <c r="I57" s="34">
        <v>-25000.0</v>
      </c>
      <c r="J57" s="34">
        <v>-9905.0</v>
      </c>
    </row>
    <row r="58" spans="2:10" ht="16" outlineLevel="1">
      <c r="B58" s="29" t="s">
        <v>8</v>
      </c>
      <c r="C58" s="33" t="s">
        <v>101</v>
      </c>
      <c r="D58" s="29" t="s">
        <v>115</v>
      </c>
      <c r="E58" s="29" t="s">
        <v>116</v>
      </c>
      <c r="F58" s="29" t="s">
        <v>6</v>
      </c>
      <c r="G58" s="29" t="s">
        <v>117</v>
      </c>
      <c r="H58" s="29" t="s">
        <v>118</v>
      </c>
      <c r="I58" s="29"/>
      <c r="J58" s="34">
        <v>-9905.0</v>
      </c>
    </row>
    <row r="59" spans="2:10" ht="16" outlineLevel="1">
      <c r="B59" s="29" t="s">
        <v>8</v>
      </c>
      <c r="C59" s="33" t="s">
        <v>101</v>
      </c>
      <c r="D59" s="29" t="s">
        <v>115</v>
      </c>
      <c r="E59" s="29" t="s">
        <v>116</v>
      </c>
      <c r="F59" s="29" t="s">
        <v>6</v>
      </c>
      <c r="G59" s="29" t="s">
        <v>117</v>
      </c>
      <c r="H59" s="29" t="s">
        <v>8</v>
      </c>
      <c r="I59" s="34">
        <v>160.0</v>
      </c>
      <c r="J59" s="34">
        <v>-9745.0</v>
      </c>
    </row>
    <row r="60" spans="2:10" ht="16" outlineLevel="1">
      <c r="B60" s="29" t="s">
        <v>8</v>
      </c>
      <c r="C60" s="33" t="s">
        <v>101</v>
      </c>
      <c r="D60" s="29" t="s">
        <v>115</v>
      </c>
      <c r="E60" s="29" t="s">
        <v>116</v>
      </c>
      <c r="F60" s="29" t="s">
        <v>6</v>
      </c>
      <c r="G60" s="29" t="s">
        <v>119</v>
      </c>
      <c r="H60" s="29" t="s">
        <v>118</v>
      </c>
      <c r="I60" s="29"/>
      <c r="J60" s="34">
        <v>-9745.0</v>
      </c>
    </row>
    <row r="61" spans="2:10" ht="16" outlineLevel="1">
      <c r="B61" s="29" t="s">
        <v>8</v>
      </c>
      <c r="C61" s="33" t="s">
        <v>101</v>
      </c>
      <c r="D61" s="29" t="s">
        <v>115</v>
      </c>
      <c r="E61" s="29" t="s">
        <v>116</v>
      </c>
      <c r="F61" s="29" t="s">
        <v>6</v>
      </c>
      <c r="G61" s="29" t="s">
        <v>119</v>
      </c>
      <c r="H61" s="29" t="s">
        <v>8</v>
      </c>
      <c r="I61" s="34">
        <v>7.5</v>
      </c>
      <c r="J61" s="34">
        <v>-9737.5</v>
      </c>
    </row>
    <row r="62" spans="2:10" ht="16" outlineLevel="1">
      <c r="B62" s="29" t="s">
        <v>8</v>
      </c>
      <c r="C62" s="33" t="s">
        <v>101</v>
      </c>
      <c r="D62" s="29" t="s">
        <v>115</v>
      </c>
      <c r="E62" s="29" t="s">
        <v>116</v>
      </c>
      <c r="F62" s="29" t="s">
        <v>6</v>
      </c>
      <c r="G62" s="29" t="s">
        <v>120</v>
      </c>
      <c r="H62" s="29" t="s">
        <v>118</v>
      </c>
      <c r="I62" s="29"/>
      <c r="J62" s="34">
        <v>-9737.5</v>
      </c>
    </row>
    <row r="63" spans="2:10" ht="16" outlineLevel="1">
      <c r="B63" s="29" t="s">
        <v>8</v>
      </c>
      <c r="C63" s="33" t="s">
        <v>101</v>
      </c>
      <c r="D63" s="29" t="s">
        <v>115</v>
      </c>
      <c r="E63" s="29" t="s">
        <v>116</v>
      </c>
      <c r="F63" s="29" t="s">
        <v>6</v>
      </c>
      <c r="G63" s="29" t="s">
        <v>120</v>
      </c>
      <c r="H63" s="29" t="s">
        <v>8</v>
      </c>
      <c r="I63" s="34">
        <v>25.0</v>
      </c>
      <c r="J63" s="34">
        <v>-9712.5</v>
      </c>
    </row>
    <row r="64" spans="2:10" ht="16" outlineLevel="1">
      <c r="B64" s="29" t="s">
        <v>8</v>
      </c>
      <c r="C64" s="33" t="s">
        <v>101</v>
      </c>
      <c r="D64" s="29" t="s">
        <v>115</v>
      </c>
      <c r="E64" s="29" t="s">
        <v>116</v>
      </c>
      <c r="F64" s="29" t="s">
        <v>6</v>
      </c>
      <c r="G64" s="29" t="s">
        <v>121</v>
      </c>
      <c r="H64" s="29" t="s">
        <v>118</v>
      </c>
      <c r="I64" s="29"/>
      <c r="J64" s="34">
        <v>-9712.5</v>
      </c>
    </row>
    <row r="65" spans="2:10" ht="16" outlineLevel="1">
      <c r="B65" s="29" t="s">
        <v>8</v>
      </c>
      <c r="C65" s="33" t="s">
        <v>101</v>
      </c>
      <c r="D65" s="29" t="s">
        <v>115</v>
      </c>
      <c r="E65" s="29" t="s">
        <v>116</v>
      </c>
      <c r="F65" s="29" t="s">
        <v>6</v>
      </c>
      <c r="G65" s="29" t="s">
        <v>121</v>
      </c>
      <c r="H65" s="29" t="s">
        <v>8</v>
      </c>
      <c r="I65" s="34">
        <v>375.0</v>
      </c>
      <c r="J65" s="34">
        <v>-9337.5</v>
      </c>
    </row>
    <row r="66" spans="1:9" ht="16">
      <c r="A66" s="40" t="s">
        <v>122</v>
      </c>
      <c r="I66" s="35">
        <f>I53+I54+I55+I56+I57+I58+I59+I60+I61+I62+I63+I64+I65</f>
        <v>-9337.5</v>
      </c>
    </row>
    <row r="67" spans="1:1" ht="16">
      <c r="A67" s="39" t="s">
        <v>13</v>
      </c>
    </row>
    <row r="68" spans="2:10" ht="16" outlineLevel="1">
      <c r="B68" s="29" t="s">
        <v>13</v>
      </c>
      <c r="C68" s="33" t="s">
        <v>123</v>
      </c>
      <c r="D68" s="29" t="s">
        <v>124</v>
      </c>
      <c r="E68" s="29" t="s">
        <v>6</v>
      </c>
      <c r="F68" s="29" t="s">
        <v>12</v>
      </c>
      <c r="G68" s="29" t="s">
        <v>125</v>
      </c>
      <c r="H68" s="29" t="s">
        <v>59</v>
      </c>
      <c r="I68" s="34">
        <v>300.0</v>
      </c>
      <c r="J68" s="34">
        <v>300.0</v>
      </c>
    </row>
    <row r="69" spans="2:10" ht="16" outlineLevel="1">
      <c r="B69" s="29" t="s">
        <v>13</v>
      </c>
      <c r="C69" s="33" t="s">
        <v>9</v>
      </c>
      <c r="D69" s="29" t="s">
        <v>10</v>
      </c>
      <c r="E69" s="29" t="s">
        <v>11</v>
      </c>
      <c r="F69" s="29" t="s">
        <v>12</v>
      </c>
      <c r="G69" s="29" t="s">
        <v>6</v>
      </c>
      <c r="H69" s="29" t="s">
        <v>3</v>
      </c>
      <c r="I69" s="34">
        <v>-300.0</v>
      </c>
      <c r="J69" s="34">
        <v>0</v>
      </c>
    </row>
    <row r="70" spans="2:10" ht="16" outlineLevel="1">
      <c r="B70" s="29" t="s">
        <v>13</v>
      </c>
      <c r="C70" s="33" t="s">
        <v>126</v>
      </c>
      <c r="D70" s="29" t="s">
        <v>124</v>
      </c>
      <c r="E70" s="29" t="s">
        <v>6</v>
      </c>
      <c r="F70" s="29" t="s">
        <v>127</v>
      </c>
      <c r="G70" s="29" t="s">
        <v>6</v>
      </c>
      <c r="H70" s="29" t="s">
        <v>128</v>
      </c>
      <c r="I70" s="34">
        <v>56.5</v>
      </c>
      <c r="J70" s="34">
        <v>56.5</v>
      </c>
    </row>
    <row r="71" spans="2:10" ht="16" outlineLevel="1">
      <c r="B71" s="29" t="s">
        <v>13</v>
      </c>
      <c r="C71" s="33" t="s">
        <v>129</v>
      </c>
      <c r="D71" s="29" t="s">
        <v>124</v>
      </c>
      <c r="E71" s="29" t="s">
        <v>6</v>
      </c>
      <c r="F71" s="29" t="s">
        <v>97</v>
      </c>
      <c r="G71" s="29" t="s">
        <v>6</v>
      </c>
      <c r="H71" s="29" t="s">
        <v>130</v>
      </c>
      <c r="I71" s="34">
        <v>86.44</v>
      </c>
      <c r="J71" s="34">
        <v>142.94</v>
      </c>
    </row>
    <row r="72" spans="2:10" ht="16" outlineLevel="1">
      <c r="B72" s="29" t="s">
        <v>13</v>
      </c>
      <c r="C72" s="33" t="s">
        <v>131</v>
      </c>
      <c r="D72" s="29" t="s">
        <v>124</v>
      </c>
      <c r="E72" s="29" t="s">
        <v>6</v>
      </c>
      <c r="F72" s="29" t="s">
        <v>54</v>
      </c>
      <c r="G72" s="29" t="s">
        <v>7</v>
      </c>
      <c r="H72" s="29" t="s">
        <v>132</v>
      </c>
      <c r="I72" s="34">
        <v>250.0</v>
      </c>
      <c r="J72" s="34">
        <v>392.94</v>
      </c>
    </row>
    <row r="73" spans="2:10" ht="16" outlineLevel="1">
      <c r="B73" s="29" t="s">
        <v>13</v>
      </c>
      <c r="C73" s="33" t="s">
        <v>52</v>
      </c>
      <c r="D73" s="29" t="s">
        <v>10</v>
      </c>
      <c r="E73" s="29" t="s">
        <v>53</v>
      </c>
      <c r="F73" s="29" t="s">
        <v>54</v>
      </c>
      <c r="G73" s="29" t="s">
        <v>6</v>
      </c>
      <c r="H73" s="29" t="s">
        <v>3</v>
      </c>
      <c r="I73" s="34">
        <v>-250.0</v>
      </c>
      <c r="J73" s="34">
        <v>142.94</v>
      </c>
    </row>
    <row r="74" spans="2:10" ht="16" outlineLevel="1">
      <c r="B74" s="29" t="s">
        <v>13</v>
      </c>
      <c r="C74" s="33" t="s">
        <v>112</v>
      </c>
      <c r="D74" s="29" t="s">
        <v>124</v>
      </c>
      <c r="E74" s="29" t="s">
        <v>6</v>
      </c>
      <c r="F74" s="29" t="s">
        <v>127</v>
      </c>
      <c r="G74" s="29" t="s">
        <v>6</v>
      </c>
      <c r="H74" s="29" t="s">
        <v>128</v>
      </c>
      <c r="I74" s="34">
        <v>74.36</v>
      </c>
      <c r="J74" s="34">
        <v>217.3</v>
      </c>
    </row>
    <row r="75" spans="2:10" ht="16" outlineLevel="1">
      <c r="B75" s="29" t="s">
        <v>13</v>
      </c>
      <c r="C75" s="33" t="s">
        <v>112</v>
      </c>
      <c r="D75" s="29" t="s">
        <v>124</v>
      </c>
      <c r="E75" s="29" t="s">
        <v>6</v>
      </c>
      <c r="F75" s="29" t="s">
        <v>72</v>
      </c>
      <c r="G75" s="29" t="s">
        <v>6</v>
      </c>
      <c r="H75" s="29" t="s">
        <v>133</v>
      </c>
      <c r="I75" s="34">
        <v>900.0</v>
      </c>
      <c r="J75" s="34">
        <v>1117.3</v>
      </c>
    </row>
    <row r="76" spans="2:10" ht="16" outlineLevel="1">
      <c r="B76" s="29" t="s">
        <v>13</v>
      </c>
      <c r="C76" s="33" t="s">
        <v>112</v>
      </c>
      <c r="D76" s="29" t="s">
        <v>124</v>
      </c>
      <c r="E76" s="29" t="s">
        <v>6</v>
      </c>
      <c r="F76" s="29" t="s">
        <v>97</v>
      </c>
      <c r="G76" s="29" t="s">
        <v>6</v>
      </c>
      <c r="H76" s="29" t="s">
        <v>130</v>
      </c>
      <c r="I76" s="34">
        <v>114.09</v>
      </c>
      <c r="J76" s="34">
        <v>1231.3899999999999</v>
      </c>
    </row>
    <row r="77" spans="2:10" ht="16" outlineLevel="1">
      <c r="B77" s="29" t="s">
        <v>13</v>
      </c>
      <c r="C77" s="33" t="s">
        <v>134</v>
      </c>
      <c r="D77" s="29" t="s">
        <v>124</v>
      </c>
      <c r="E77" s="29" t="s">
        <v>6</v>
      </c>
      <c r="F77" s="29" t="s">
        <v>99</v>
      </c>
      <c r="G77" s="29" t="s">
        <v>7</v>
      </c>
      <c r="H77" s="29" t="s">
        <v>132</v>
      </c>
      <c r="I77" s="34">
        <v>666.0</v>
      </c>
      <c r="J77" s="34">
        <v>1897.3899999999999</v>
      </c>
    </row>
    <row r="78" spans="2:10" ht="16" outlineLevel="1">
      <c r="B78" s="29" t="s">
        <v>13</v>
      </c>
      <c r="C78" s="33" t="s">
        <v>135</v>
      </c>
      <c r="D78" s="29" t="s">
        <v>124</v>
      </c>
      <c r="E78" s="29" t="s">
        <v>6</v>
      </c>
      <c r="F78" s="29" t="s">
        <v>35</v>
      </c>
      <c r="G78" s="29" t="s">
        <v>6</v>
      </c>
      <c r="H78" s="29" t="s">
        <v>22</v>
      </c>
      <c r="I78" s="34">
        <v>75.0</v>
      </c>
      <c r="J78" s="34">
        <v>1972.3899999999999</v>
      </c>
    </row>
    <row r="79" spans="2:10" ht="16" outlineLevel="1">
      <c r="B79" s="29" t="s">
        <v>13</v>
      </c>
      <c r="C79" s="33" t="s">
        <v>68</v>
      </c>
      <c r="D79" s="29" t="s">
        <v>124</v>
      </c>
      <c r="E79" s="29" t="s">
        <v>6</v>
      </c>
      <c r="F79" s="29" t="s">
        <v>85</v>
      </c>
      <c r="G79" s="29" t="s">
        <v>7</v>
      </c>
      <c r="H79" s="29" t="s">
        <v>132</v>
      </c>
      <c r="I79" s="34">
        <v>2000.0</v>
      </c>
      <c r="J79" s="34">
        <v>3972.39</v>
      </c>
    </row>
    <row r="80" spans="2:10" ht="16" outlineLevel="1">
      <c r="B80" s="29" t="s">
        <v>13</v>
      </c>
      <c r="C80" s="33" t="s">
        <v>68</v>
      </c>
      <c r="D80" s="29" t="s">
        <v>124</v>
      </c>
      <c r="E80" s="29" t="s">
        <v>6</v>
      </c>
      <c r="F80" s="29" t="s">
        <v>85</v>
      </c>
      <c r="G80" s="29" t="s">
        <v>6</v>
      </c>
      <c r="H80" s="29" t="s">
        <v>136</v>
      </c>
      <c r="I80" s="34">
        <v>241.23</v>
      </c>
      <c r="J80" s="34">
        <v>4213.62</v>
      </c>
    </row>
    <row r="81" spans="2:10" ht="16" outlineLevel="1">
      <c r="B81" s="29" t="s">
        <v>13</v>
      </c>
      <c r="C81" s="33" t="s">
        <v>68</v>
      </c>
      <c r="D81" s="29" t="s">
        <v>10</v>
      </c>
      <c r="E81" s="29" t="s">
        <v>71</v>
      </c>
      <c r="F81" s="29" t="s">
        <v>72</v>
      </c>
      <c r="G81" s="29" t="s">
        <v>6</v>
      </c>
      <c r="H81" s="29" t="s">
        <v>3</v>
      </c>
      <c r="I81" s="34">
        <v>-900.0</v>
      </c>
      <c r="J81" s="34">
        <v>3313.62</v>
      </c>
    </row>
    <row r="82" spans="2:10" ht="16" outlineLevel="1">
      <c r="B82" s="29" t="s">
        <v>13</v>
      </c>
      <c r="C82" s="33" t="s">
        <v>83</v>
      </c>
      <c r="D82" s="29" t="s">
        <v>10</v>
      </c>
      <c r="E82" s="29" t="s">
        <v>84</v>
      </c>
      <c r="F82" s="29" t="s">
        <v>85</v>
      </c>
      <c r="G82" s="29" t="s">
        <v>6</v>
      </c>
      <c r="H82" s="29" t="s">
        <v>3</v>
      </c>
      <c r="I82" s="34">
        <v>-2000.0</v>
      </c>
      <c r="J82" s="34">
        <v>1313.62</v>
      </c>
    </row>
    <row r="83" spans="2:10" ht="16" outlineLevel="1">
      <c r="B83" s="29" t="s">
        <v>13</v>
      </c>
      <c r="C83" s="33" t="s">
        <v>83</v>
      </c>
      <c r="D83" s="29" t="s">
        <v>124</v>
      </c>
      <c r="E83" s="29" t="s">
        <v>6</v>
      </c>
      <c r="F83" s="29" t="s">
        <v>137</v>
      </c>
      <c r="G83" s="29" t="s">
        <v>6</v>
      </c>
      <c r="H83" s="29" t="s">
        <v>138</v>
      </c>
      <c r="I83" s="34">
        <v>103.55</v>
      </c>
      <c r="J83" s="34">
        <v>1417.1699999999998</v>
      </c>
    </row>
    <row r="84" spans="2:10" ht="16" outlineLevel="1">
      <c r="B84" s="29" t="s">
        <v>13</v>
      </c>
      <c r="C84" s="33" t="s">
        <v>86</v>
      </c>
      <c r="D84" s="29" t="s">
        <v>10</v>
      </c>
      <c r="E84" s="29" t="s">
        <v>87</v>
      </c>
      <c r="F84" s="29" t="s">
        <v>35</v>
      </c>
      <c r="G84" s="29" t="s">
        <v>6</v>
      </c>
      <c r="H84" s="29" t="s">
        <v>3</v>
      </c>
      <c r="I84" s="34">
        <v>-75.0</v>
      </c>
      <c r="J84" s="34">
        <v>1342.1699999999998</v>
      </c>
    </row>
    <row r="85" spans="2:10" ht="16" outlineLevel="1">
      <c r="B85" s="29" t="s">
        <v>13</v>
      </c>
      <c r="C85" s="33" t="s">
        <v>86</v>
      </c>
      <c r="D85" s="29" t="s">
        <v>124</v>
      </c>
      <c r="E85" s="29" t="s">
        <v>6</v>
      </c>
      <c r="F85" s="29" t="s">
        <v>139</v>
      </c>
      <c r="G85" s="29" t="s">
        <v>6</v>
      </c>
      <c r="H85" s="29" t="s">
        <v>140</v>
      </c>
      <c r="I85" s="34">
        <v>755.0</v>
      </c>
      <c r="J85" s="34">
        <v>2097.17</v>
      </c>
    </row>
    <row r="86" spans="2:10" ht="16" outlineLevel="1">
      <c r="B86" s="29" t="s">
        <v>13</v>
      </c>
      <c r="C86" s="33" t="s">
        <v>86</v>
      </c>
      <c r="D86" s="29" t="s">
        <v>141</v>
      </c>
      <c r="E86" s="29" t="s">
        <v>84</v>
      </c>
      <c r="F86" s="29" t="s">
        <v>127</v>
      </c>
      <c r="G86" s="29" t="s">
        <v>6</v>
      </c>
      <c r="H86" s="29" t="s">
        <v>110</v>
      </c>
      <c r="I86" s="34">
        <v>-74.36</v>
      </c>
      <c r="J86" s="34">
        <v>2022.8100000000002</v>
      </c>
    </row>
    <row r="87" spans="2:10" ht="16" outlineLevel="1">
      <c r="B87" s="29" t="s">
        <v>13</v>
      </c>
      <c r="C87" s="33" t="s">
        <v>95</v>
      </c>
      <c r="D87" s="29" t="s">
        <v>10</v>
      </c>
      <c r="E87" s="29" t="s">
        <v>96</v>
      </c>
      <c r="F87" s="29" t="s">
        <v>97</v>
      </c>
      <c r="G87" s="29" t="s">
        <v>6</v>
      </c>
      <c r="H87" s="29" t="s">
        <v>3</v>
      </c>
      <c r="I87" s="34">
        <v>-114.09</v>
      </c>
      <c r="J87" s="34">
        <v>1908.7200000000003</v>
      </c>
    </row>
    <row r="88" spans="2:10" ht="16" outlineLevel="1">
      <c r="B88" s="29" t="s">
        <v>13</v>
      </c>
      <c r="C88" s="33" t="s">
        <v>95</v>
      </c>
      <c r="D88" s="29" t="s">
        <v>10</v>
      </c>
      <c r="E88" s="29" t="s">
        <v>98</v>
      </c>
      <c r="F88" s="29" t="s">
        <v>99</v>
      </c>
      <c r="G88" s="29" t="s">
        <v>6</v>
      </c>
      <c r="H88" s="29" t="s">
        <v>3</v>
      </c>
      <c r="I88" s="34">
        <v>-666.0</v>
      </c>
      <c r="J88" s="34">
        <v>1242.7200000000003</v>
      </c>
    </row>
    <row r="89" spans="2:10" ht="16" outlineLevel="1">
      <c r="B89" s="29" t="s">
        <v>13</v>
      </c>
      <c r="C89" s="33" t="s">
        <v>101</v>
      </c>
      <c r="D89" s="29" t="s">
        <v>124</v>
      </c>
      <c r="E89" s="29" t="s">
        <v>6</v>
      </c>
      <c r="F89" s="29" t="s">
        <v>12</v>
      </c>
      <c r="G89" s="29" t="s">
        <v>6</v>
      </c>
      <c r="H89" s="29" t="s">
        <v>22</v>
      </c>
      <c r="I89" s="34">
        <v>315.0</v>
      </c>
      <c r="J89" s="34">
        <v>1557.7200000000003</v>
      </c>
    </row>
    <row r="90" spans="2:10" ht="16" outlineLevel="1">
      <c r="B90" s="29" t="s">
        <v>13</v>
      </c>
      <c r="C90" s="33" t="s">
        <v>101</v>
      </c>
      <c r="D90" s="29" t="s">
        <v>141</v>
      </c>
      <c r="E90" s="29" t="s">
        <v>84</v>
      </c>
      <c r="F90" s="29" t="s">
        <v>127</v>
      </c>
      <c r="G90" s="29" t="s">
        <v>6</v>
      </c>
      <c r="H90" s="29" t="s">
        <v>110</v>
      </c>
      <c r="I90" s="34">
        <v>-56.5</v>
      </c>
      <c r="J90" s="34">
        <v>1501.2200000000003</v>
      </c>
    </row>
    <row r="91" spans="2:10" ht="16" outlineLevel="1">
      <c r="B91" s="29" t="s">
        <v>13</v>
      </c>
      <c r="C91" s="33" t="s">
        <v>101</v>
      </c>
      <c r="D91" s="29" t="s">
        <v>141</v>
      </c>
      <c r="E91" s="29" t="s">
        <v>84</v>
      </c>
      <c r="F91" s="29" t="s">
        <v>137</v>
      </c>
      <c r="G91" s="29" t="s">
        <v>6</v>
      </c>
      <c r="H91" s="29" t="s">
        <v>110</v>
      </c>
      <c r="I91" s="34">
        <v>-103.55</v>
      </c>
      <c r="J91" s="34">
        <v>1397.6700000000003</v>
      </c>
    </row>
    <row r="92" spans="2:10" ht="16" outlineLevel="1">
      <c r="B92" s="29" t="s">
        <v>13</v>
      </c>
      <c r="C92" s="33" t="s">
        <v>101</v>
      </c>
      <c r="D92" s="29" t="s">
        <v>124</v>
      </c>
      <c r="E92" s="29" t="s">
        <v>6</v>
      </c>
      <c r="F92" s="29" t="s">
        <v>137</v>
      </c>
      <c r="G92" s="29" t="s">
        <v>6</v>
      </c>
      <c r="H92" s="29" t="s">
        <v>6</v>
      </c>
      <c r="I92" s="34">
        <v>205.0</v>
      </c>
      <c r="J92" s="34">
        <v>1602.6700000000003</v>
      </c>
    </row>
    <row r="93" spans="1:9" ht="16">
      <c r="A93" s="40" t="s">
        <v>142</v>
      </c>
      <c r="I93" s="35">
        <f>I68+I69+I70+I71+I72+I73+I74+I75+I76+I77+I78+I79+I80+I81+I82+I83+I84+I85+I86+I87+I88+I89+I90+I91+I92</f>
        <v>1602.6700000000003</v>
      </c>
    </row>
    <row r="94" spans="1:1" ht="16">
      <c r="A94" s="39" t="s">
        <v>18</v>
      </c>
    </row>
    <row r="95" spans="2:10" ht="16" outlineLevel="1">
      <c r="B95" s="29" t="s">
        <v>18</v>
      </c>
      <c r="C95" s="33" t="s">
        <v>143</v>
      </c>
      <c r="D95" s="29" t="s">
        <v>144</v>
      </c>
      <c r="E95" s="29" t="s">
        <v>145</v>
      </c>
      <c r="F95" s="29" t="s">
        <v>17</v>
      </c>
      <c r="G95" s="29" t="s">
        <v>6</v>
      </c>
      <c r="H95" s="29" t="s">
        <v>6</v>
      </c>
      <c r="I95" s="34">
        <v>175.0</v>
      </c>
      <c r="J95" s="34">
        <v>175.0</v>
      </c>
    </row>
    <row r="96" spans="2:10" ht="16" outlineLevel="1">
      <c r="B96" s="29" t="s">
        <v>18</v>
      </c>
      <c r="C96" s="33" t="s">
        <v>143</v>
      </c>
      <c r="D96" s="29" t="s">
        <v>144</v>
      </c>
      <c r="E96" s="29" t="s">
        <v>146</v>
      </c>
      <c r="F96" s="29" t="s">
        <v>147</v>
      </c>
      <c r="G96" s="29" t="s">
        <v>6</v>
      </c>
      <c r="H96" s="29" t="s">
        <v>6</v>
      </c>
      <c r="I96" s="34">
        <v>226.75</v>
      </c>
      <c r="J96" s="34">
        <v>401.75</v>
      </c>
    </row>
    <row r="97" spans="2:10" ht="16" outlineLevel="1">
      <c r="B97" s="29" t="s">
        <v>18</v>
      </c>
      <c r="C97" s="33" t="s">
        <v>14</v>
      </c>
      <c r="D97" s="29" t="s">
        <v>15</v>
      </c>
      <c r="E97" s="29" t="s">
        <v>16</v>
      </c>
      <c r="F97" s="29" t="s">
        <v>17</v>
      </c>
      <c r="G97" s="29" t="s">
        <v>6</v>
      </c>
      <c r="H97" s="29" t="s">
        <v>3</v>
      </c>
      <c r="I97" s="34">
        <v>-175.0</v>
      </c>
      <c r="J97" s="34">
        <v>226.75</v>
      </c>
    </row>
    <row r="98" spans="2:10" ht="16" outlineLevel="1">
      <c r="B98" s="29" t="s">
        <v>18</v>
      </c>
      <c r="C98" s="33" t="s">
        <v>14</v>
      </c>
      <c r="D98" s="29" t="s">
        <v>15</v>
      </c>
      <c r="E98" s="29" t="s">
        <v>6</v>
      </c>
      <c r="F98" s="29" t="s">
        <v>147</v>
      </c>
      <c r="G98" s="29" t="s">
        <v>6</v>
      </c>
      <c r="H98" s="29" t="s">
        <v>148</v>
      </c>
      <c r="I98" s="34">
        <v>-226.75</v>
      </c>
      <c r="J98" s="34">
        <v>0</v>
      </c>
    </row>
    <row r="99" spans="2:10" ht="16" outlineLevel="1">
      <c r="B99" s="29" t="s">
        <v>18</v>
      </c>
      <c r="C99" s="33" t="s">
        <v>149</v>
      </c>
      <c r="D99" s="29" t="s">
        <v>144</v>
      </c>
      <c r="E99" s="29" t="s">
        <v>150</v>
      </c>
      <c r="F99" s="29" t="s">
        <v>147</v>
      </c>
      <c r="G99" s="29" t="s">
        <v>6</v>
      </c>
      <c r="H99" s="29" t="s">
        <v>6</v>
      </c>
      <c r="I99" s="34">
        <v>387.0</v>
      </c>
      <c r="J99" s="34">
        <v>387.0</v>
      </c>
    </row>
    <row r="100" spans="2:10" ht="16" outlineLevel="1">
      <c r="B100" s="29" t="s">
        <v>18</v>
      </c>
      <c r="C100" s="33" t="s">
        <v>151</v>
      </c>
      <c r="D100" s="29" t="s">
        <v>144</v>
      </c>
      <c r="E100" s="29" t="s">
        <v>152</v>
      </c>
      <c r="F100" s="29" t="s">
        <v>153</v>
      </c>
      <c r="G100" s="29" t="s">
        <v>6</v>
      </c>
      <c r="H100" s="29" t="s">
        <v>6</v>
      </c>
      <c r="I100" s="34">
        <v>156.0</v>
      </c>
      <c r="J100" s="34">
        <v>543.0</v>
      </c>
    </row>
    <row r="101" spans="2:10" ht="16" outlineLevel="1">
      <c r="B101" s="29" t="s">
        <v>18</v>
      </c>
      <c r="C101" s="33" t="s">
        <v>154</v>
      </c>
      <c r="D101" s="29" t="s">
        <v>144</v>
      </c>
      <c r="E101" s="29" t="s">
        <v>155</v>
      </c>
      <c r="F101" s="29" t="s">
        <v>156</v>
      </c>
      <c r="G101" s="29" t="s">
        <v>6</v>
      </c>
      <c r="H101" s="29" t="s">
        <v>157</v>
      </c>
      <c r="I101" s="34">
        <v>75.0</v>
      </c>
      <c r="J101" s="34">
        <v>618.0</v>
      </c>
    </row>
    <row r="102" spans="2:10" ht="16" outlineLevel="1">
      <c r="B102" s="29" t="s">
        <v>18</v>
      </c>
      <c r="C102" s="33" t="s">
        <v>158</v>
      </c>
      <c r="D102" s="29" t="s">
        <v>144</v>
      </c>
      <c r="E102" s="29" t="s">
        <v>159</v>
      </c>
      <c r="F102" s="29" t="s">
        <v>50</v>
      </c>
      <c r="G102" s="29" t="s">
        <v>6</v>
      </c>
      <c r="H102" s="29" t="s">
        <v>6</v>
      </c>
      <c r="I102" s="34">
        <v>205.0</v>
      </c>
      <c r="J102" s="34">
        <v>823.0</v>
      </c>
    </row>
    <row r="103" spans="2:10" ht="16" outlineLevel="1">
      <c r="B103" s="29" t="s">
        <v>18</v>
      </c>
      <c r="C103" s="33" t="s">
        <v>158</v>
      </c>
      <c r="D103" s="29" t="s">
        <v>144</v>
      </c>
      <c r="E103" s="29" t="s">
        <v>160</v>
      </c>
      <c r="F103" s="29" t="s">
        <v>17</v>
      </c>
      <c r="G103" s="29" t="s">
        <v>6</v>
      </c>
      <c r="H103" s="29" t="s">
        <v>6</v>
      </c>
      <c r="I103" s="34">
        <v>85.0</v>
      </c>
      <c r="J103" s="34">
        <v>908.0</v>
      </c>
    </row>
    <row r="104" spans="2:10" ht="16" outlineLevel="1">
      <c r="B104" s="29" t="s">
        <v>18</v>
      </c>
      <c r="C104" s="33" t="s">
        <v>158</v>
      </c>
      <c r="D104" s="29" t="s">
        <v>144</v>
      </c>
      <c r="E104" s="29" t="s">
        <v>161</v>
      </c>
      <c r="F104" s="29" t="s">
        <v>44</v>
      </c>
      <c r="G104" s="29" t="s">
        <v>6</v>
      </c>
      <c r="H104" s="29" t="s">
        <v>6</v>
      </c>
      <c r="I104" s="34">
        <v>81.0</v>
      </c>
      <c r="J104" s="34">
        <v>989.0</v>
      </c>
    </row>
    <row r="105" spans="2:10" ht="16" outlineLevel="1">
      <c r="B105" s="29" t="s">
        <v>18</v>
      </c>
      <c r="C105" s="33" t="s">
        <v>158</v>
      </c>
      <c r="D105" s="29" t="s">
        <v>144</v>
      </c>
      <c r="E105" s="29" t="s">
        <v>162</v>
      </c>
      <c r="F105" s="29" t="s">
        <v>163</v>
      </c>
      <c r="G105" s="29" t="s">
        <v>6</v>
      </c>
      <c r="H105" s="29" t="s">
        <v>6</v>
      </c>
      <c r="I105" s="34">
        <v>460.4</v>
      </c>
      <c r="J105" s="34">
        <v>1449.4</v>
      </c>
    </row>
    <row r="106" spans="2:10" ht="16" outlineLevel="1">
      <c r="B106" s="29" t="s">
        <v>18</v>
      </c>
      <c r="C106" s="33" t="s">
        <v>164</v>
      </c>
      <c r="D106" s="29" t="s">
        <v>144</v>
      </c>
      <c r="E106" s="29" t="s">
        <v>165</v>
      </c>
      <c r="F106" s="29" t="s">
        <v>44</v>
      </c>
      <c r="G106" s="29" t="s">
        <v>6</v>
      </c>
      <c r="H106" s="29" t="s">
        <v>6</v>
      </c>
      <c r="I106" s="34">
        <v>86.4</v>
      </c>
      <c r="J106" s="34">
        <v>1535.8000000000002</v>
      </c>
    </row>
    <row r="107" spans="2:10" ht="16" outlineLevel="1">
      <c r="B107" s="29" t="s">
        <v>18</v>
      </c>
      <c r="C107" s="33" t="s">
        <v>166</v>
      </c>
      <c r="D107" s="29" t="s">
        <v>15</v>
      </c>
      <c r="E107" s="29" t="s">
        <v>6</v>
      </c>
      <c r="F107" s="29" t="s">
        <v>163</v>
      </c>
      <c r="G107" s="29" t="s">
        <v>6</v>
      </c>
      <c r="H107" s="29" t="s">
        <v>148</v>
      </c>
      <c r="I107" s="34">
        <v>-460.4</v>
      </c>
      <c r="J107" s="34">
        <v>1075.4</v>
      </c>
    </row>
    <row r="108" spans="2:10" ht="16" outlineLevel="1">
      <c r="B108" s="29" t="s">
        <v>18</v>
      </c>
      <c r="C108" s="33" t="s">
        <v>42</v>
      </c>
      <c r="D108" s="29" t="s">
        <v>15</v>
      </c>
      <c r="E108" s="29" t="s">
        <v>43</v>
      </c>
      <c r="F108" s="29" t="s">
        <v>44</v>
      </c>
      <c r="G108" s="29" t="s">
        <v>6</v>
      </c>
      <c r="H108" s="29" t="s">
        <v>3</v>
      </c>
      <c r="I108" s="34">
        <v>-86.4</v>
      </c>
      <c r="J108" s="34">
        <v>989.0000000000001</v>
      </c>
    </row>
    <row r="109" spans="2:10" ht="16" outlineLevel="1">
      <c r="B109" s="29" t="s">
        <v>18</v>
      </c>
      <c r="C109" s="33" t="s">
        <v>42</v>
      </c>
      <c r="D109" s="29" t="s">
        <v>144</v>
      </c>
      <c r="E109" s="29" t="s">
        <v>167</v>
      </c>
      <c r="F109" s="29" t="s">
        <v>168</v>
      </c>
      <c r="G109" s="29" t="s">
        <v>6</v>
      </c>
      <c r="H109" s="29" t="s">
        <v>48</v>
      </c>
      <c r="I109" s="34">
        <v>750.0</v>
      </c>
      <c r="J109" s="34">
        <v>1739.0</v>
      </c>
    </row>
    <row r="110" spans="2:10" ht="16" outlineLevel="1">
      <c r="B110" s="29" t="s">
        <v>18</v>
      </c>
      <c r="C110" s="33" t="s">
        <v>49</v>
      </c>
      <c r="D110" s="29" t="s">
        <v>15</v>
      </c>
      <c r="E110" s="29" t="s">
        <v>6</v>
      </c>
      <c r="F110" s="29" t="s">
        <v>50</v>
      </c>
      <c r="G110" s="29" t="s">
        <v>51</v>
      </c>
      <c r="H110" s="29" t="s">
        <v>3</v>
      </c>
      <c r="I110" s="34">
        <v>-105.0</v>
      </c>
      <c r="J110" s="34">
        <v>1634.0</v>
      </c>
    </row>
    <row r="111" spans="2:10" ht="16" outlineLevel="1">
      <c r="B111" s="29" t="s">
        <v>18</v>
      </c>
      <c r="C111" s="33" t="s">
        <v>169</v>
      </c>
      <c r="D111" s="29" t="s">
        <v>144</v>
      </c>
      <c r="E111" s="29" t="s">
        <v>170</v>
      </c>
      <c r="F111" s="29" t="s">
        <v>50</v>
      </c>
      <c r="G111" s="29" t="s">
        <v>6</v>
      </c>
      <c r="H111" s="29" t="s">
        <v>6</v>
      </c>
      <c r="I111" s="34">
        <v>459.0</v>
      </c>
      <c r="J111" s="34">
        <v>2093.0</v>
      </c>
    </row>
    <row r="112" spans="2:10" ht="16" outlineLevel="1">
      <c r="B112" s="29" t="s">
        <v>18</v>
      </c>
      <c r="C112" s="33" t="s">
        <v>169</v>
      </c>
      <c r="D112" s="29" t="s">
        <v>144</v>
      </c>
      <c r="E112" s="29" t="s">
        <v>171</v>
      </c>
      <c r="F112" s="29" t="s">
        <v>172</v>
      </c>
      <c r="G112" s="29" t="s">
        <v>6</v>
      </c>
      <c r="H112" s="29" t="s">
        <v>6</v>
      </c>
      <c r="I112" s="34">
        <v>81.0</v>
      </c>
      <c r="J112" s="34">
        <v>2174.0</v>
      </c>
    </row>
    <row r="113" spans="2:10" ht="16" outlineLevel="1">
      <c r="B113" s="29" t="s">
        <v>18</v>
      </c>
      <c r="C113" s="33" t="s">
        <v>173</v>
      </c>
      <c r="D113" s="29" t="s">
        <v>174</v>
      </c>
      <c r="E113" s="29" t="s">
        <v>175</v>
      </c>
      <c r="F113" s="29" t="s">
        <v>50</v>
      </c>
      <c r="G113" s="29" t="s">
        <v>6</v>
      </c>
      <c r="H113" s="29" t="s">
        <v>93</v>
      </c>
      <c r="I113" s="34">
        <v>-100.0</v>
      </c>
      <c r="J113" s="34">
        <v>2074.0</v>
      </c>
    </row>
    <row r="114" spans="2:10" ht="16" outlineLevel="1">
      <c r="B114" s="29" t="s">
        <v>18</v>
      </c>
      <c r="C114" s="33" t="s">
        <v>173</v>
      </c>
      <c r="D114" s="29" t="s">
        <v>15</v>
      </c>
      <c r="E114" s="29" t="s">
        <v>6</v>
      </c>
      <c r="F114" s="29" t="s">
        <v>50</v>
      </c>
      <c r="G114" s="29" t="s">
        <v>176</v>
      </c>
      <c r="H114" s="29" t="s">
        <v>6</v>
      </c>
      <c r="I114" s="34">
        <v>0</v>
      </c>
      <c r="J114" s="34">
        <v>2074.0</v>
      </c>
    </row>
    <row r="115" spans="2:10" ht="16" outlineLevel="1">
      <c r="B115" s="29" t="s">
        <v>18</v>
      </c>
      <c r="C115" s="33" t="s">
        <v>112</v>
      </c>
      <c r="D115" s="29" t="s">
        <v>144</v>
      </c>
      <c r="E115" s="29" t="s">
        <v>177</v>
      </c>
      <c r="F115" s="29" t="s">
        <v>178</v>
      </c>
      <c r="G115" s="29" t="s">
        <v>6</v>
      </c>
      <c r="H115" s="29" t="s">
        <v>157</v>
      </c>
      <c r="I115" s="34">
        <v>80.0</v>
      </c>
      <c r="J115" s="34">
        <v>2154.0</v>
      </c>
    </row>
    <row r="116" spans="2:10" ht="16" outlineLevel="1">
      <c r="B116" s="29" t="s">
        <v>18</v>
      </c>
      <c r="C116" s="33" t="s">
        <v>135</v>
      </c>
      <c r="D116" s="29" t="s">
        <v>144</v>
      </c>
      <c r="E116" s="29" t="s">
        <v>179</v>
      </c>
      <c r="F116" s="29" t="s">
        <v>180</v>
      </c>
      <c r="G116" s="29" t="s">
        <v>6</v>
      </c>
      <c r="H116" s="29" t="s">
        <v>6</v>
      </c>
      <c r="I116" s="34">
        <v>274.5</v>
      </c>
      <c r="J116" s="34">
        <v>2428.5</v>
      </c>
    </row>
    <row r="117" spans="2:10" ht="16" outlineLevel="1">
      <c r="B117" s="29" t="s">
        <v>18</v>
      </c>
      <c r="C117" s="33" t="s">
        <v>181</v>
      </c>
      <c r="D117" s="29" t="s">
        <v>144</v>
      </c>
      <c r="E117" s="29" t="s">
        <v>182</v>
      </c>
      <c r="F117" s="29" t="s">
        <v>70</v>
      </c>
      <c r="G117" s="29" t="s">
        <v>6</v>
      </c>
      <c r="H117" s="29" t="s">
        <v>6</v>
      </c>
      <c r="I117" s="34">
        <v>2369.52</v>
      </c>
      <c r="J117" s="34">
        <v>4798.02</v>
      </c>
    </row>
    <row r="118" spans="2:10" ht="16" outlineLevel="1">
      <c r="B118" s="29" t="s">
        <v>18</v>
      </c>
      <c r="C118" s="33" t="s">
        <v>181</v>
      </c>
      <c r="D118" s="29" t="s">
        <v>144</v>
      </c>
      <c r="E118" s="29" t="s">
        <v>183</v>
      </c>
      <c r="F118" s="29" t="s">
        <v>89</v>
      </c>
      <c r="G118" s="29" t="s">
        <v>6</v>
      </c>
      <c r="H118" s="29" t="s">
        <v>6</v>
      </c>
      <c r="I118" s="34">
        <v>81.0</v>
      </c>
      <c r="J118" s="34">
        <v>4879.02</v>
      </c>
    </row>
    <row r="119" spans="2:10" ht="16" outlineLevel="1">
      <c r="B119" s="29" t="s">
        <v>18</v>
      </c>
      <c r="C119" s="33" t="s">
        <v>57</v>
      </c>
      <c r="D119" s="29" t="s">
        <v>144</v>
      </c>
      <c r="E119" s="29" t="s">
        <v>184</v>
      </c>
      <c r="F119" s="29" t="s">
        <v>44</v>
      </c>
      <c r="G119" s="29" t="s">
        <v>6</v>
      </c>
      <c r="H119" s="29" t="s">
        <v>6</v>
      </c>
      <c r="I119" s="34">
        <v>54.0</v>
      </c>
      <c r="J119" s="34">
        <v>4933.02</v>
      </c>
    </row>
    <row r="120" spans="2:10" ht="16" outlineLevel="1">
      <c r="B120" s="29" t="s">
        <v>18</v>
      </c>
      <c r="C120" s="33" t="s">
        <v>57</v>
      </c>
      <c r="D120" s="29" t="s">
        <v>144</v>
      </c>
      <c r="E120" s="29" t="s">
        <v>185</v>
      </c>
      <c r="F120" s="29" t="s">
        <v>178</v>
      </c>
      <c r="G120" s="29" t="s">
        <v>6</v>
      </c>
      <c r="H120" s="29" t="s">
        <v>157</v>
      </c>
      <c r="I120" s="34">
        <v>80.0</v>
      </c>
      <c r="J120" s="34">
        <v>5013.02</v>
      </c>
    </row>
    <row r="121" spans="2:10" ht="16" outlineLevel="1">
      <c r="B121" s="29" t="s">
        <v>18</v>
      </c>
      <c r="C121" s="33" t="s">
        <v>68</v>
      </c>
      <c r="D121" s="29" t="s">
        <v>15</v>
      </c>
      <c r="E121" s="29" t="s">
        <v>69</v>
      </c>
      <c r="F121" s="29" t="s">
        <v>70</v>
      </c>
      <c r="G121" s="29" t="s">
        <v>6</v>
      </c>
      <c r="H121" s="29" t="s">
        <v>3</v>
      </c>
      <c r="I121" s="34">
        <v>-694.0</v>
      </c>
      <c r="J121" s="34">
        <v>4319.02</v>
      </c>
    </row>
    <row r="122" spans="2:10" ht="16" outlineLevel="1">
      <c r="B122" s="29" t="s">
        <v>18</v>
      </c>
      <c r="C122" s="33" t="s">
        <v>82</v>
      </c>
      <c r="D122" s="29" t="s">
        <v>15</v>
      </c>
      <c r="E122" s="29" t="s">
        <v>6</v>
      </c>
      <c r="F122" s="29" t="s">
        <v>178</v>
      </c>
      <c r="G122" s="29" t="s">
        <v>6</v>
      </c>
      <c r="H122" s="29" t="s">
        <v>148</v>
      </c>
      <c r="I122" s="34">
        <v>-80.0</v>
      </c>
      <c r="J122" s="34">
        <v>4239.02</v>
      </c>
    </row>
    <row r="123" spans="2:10" ht="16" outlineLevel="1">
      <c r="B123" s="29" t="s">
        <v>18</v>
      </c>
      <c r="C123" s="33" t="s">
        <v>83</v>
      </c>
      <c r="D123" s="29" t="s">
        <v>144</v>
      </c>
      <c r="E123" s="29" t="s">
        <v>186</v>
      </c>
      <c r="F123" s="29" t="s">
        <v>50</v>
      </c>
      <c r="G123" s="29" t="s">
        <v>187</v>
      </c>
      <c r="H123" s="29" t="s">
        <v>6</v>
      </c>
      <c r="I123" s="34">
        <v>108.0</v>
      </c>
      <c r="J123" s="34">
        <v>4347.02</v>
      </c>
    </row>
    <row r="124" spans="2:10" ht="16" outlineLevel="1">
      <c r="B124" s="29" t="s">
        <v>18</v>
      </c>
      <c r="C124" s="33" t="s">
        <v>83</v>
      </c>
      <c r="D124" s="29" t="s">
        <v>144</v>
      </c>
      <c r="E124" s="29" t="s">
        <v>188</v>
      </c>
      <c r="F124" s="29" t="s">
        <v>89</v>
      </c>
      <c r="G124" s="29" t="s">
        <v>6</v>
      </c>
      <c r="H124" s="29" t="s">
        <v>189</v>
      </c>
      <c r="I124" s="34">
        <v>103.55</v>
      </c>
      <c r="J124" s="34">
        <v>4450.570000000001</v>
      </c>
    </row>
    <row r="125" spans="2:10" ht="16" outlineLevel="1">
      <c r="B125" s="29" t="s">
        <v>18</v>
      </c>
      <c r="C125" s="33" t="s">
        <v>83</v>
      </c>
      <c r="D125" s="29" t="s">
        <v>144</v>
      </c>
      <c r="E125" s="29" t="s">
        <v>190</v>
      </c>
      <c r="F125" s="29" t="s">
        <v>89</v>
      </c>
      <c r="G125" s="29" t="s">
        <v>6</v>
      </c>
      <c r="H125" s="29" t="s">
        <v>6</v>
      </c>
      <c r="I125" s="34">
        <v>414.72</v>
      </c>
      <c r="J125" s="34">
        <v>4865.290000000001</v>
      </c>
    </row>
    <row r="126" spans="2:10" ht="16" outlineLevel="1">
      <c r="B126" s="29" t="s">
        <v>18</v>
      </c>
      <c r="C126" s="33" t="s">
        <v>86</v>
      </c>
      <c r="D126" s="29" t="s">
        <v>15</v>
      </c>
      <c r="E126" s="29" t="s">
        <v>191</v>
      </c>
      <c r="F126" s="29" t="s">
        <v>50</v>
      </c>
      <c r="G126" s="29" t="s">
        <v>6</v>
      </c>
      <c r="H126" s="29" t="s">
        <v>148</v>
      </c>
      <c r="I126" s="34">
        <v>-108.0</v>
      </c>
      <c r="J126" s="34">
        <v>4757.290000000001</v>
      </c>
    </row>
    <row r="127" spans="2:10" ht="16" outlineLevel="1">
      <c r="B127" s="29" t="s">
        <v>18</v>
      </c>
      <c r="C127" s="33" t="s">
        <v>86</v>
      </c>
      <c r="D127" s="29" t="s">
        <v>15</v>
      </c>
      <c r="E127" s="29" t="s">
        <v>192</v>
      </c>
      <c r="F127" s="29" t="s">
        <v>168</v>
      </c>
      <c r="G127" s="29" t="s">
        <v>6</v>
      </c>
      <c r="H127" s="29" t="s">
        <v>148</v>
      </c>
      <c r="I127" s="34">
        <v>-300.0</v>
      </c>
      <c r="J127" s="34">
        <v>4457.290000000001</v>
      </c>
    </row>
    <row r="128" spans="2:10" ht="16" outlineLevel="1">
      <c r="B128" s="29" t="s">
        <v>18</v>
      </c>
      <c r="C128" s="33" t="s">
        <v>86</v>
      </c>
      <c r="D128" s="29" t="s">
        <v>15</v>
      </c>
      <c r="E128" s="29" t="s">
        <v>6</v>
      </c>
      <c r="F128" s="29" t="s">
        <v>44</v>
      </c>
      <c r="G128" s="29" t="s">
        <v>6</v>
      </c>
      <c r="H128" s="29" t="s">
        <v>3</v>
      </c>
      <c r="I128" s="34">
        <v>-50.0</v>
      </c>
      <c r="J128" s="34">
        <v>4407.290000000001</v>
      </c>
    </row>
    <row r="129" spans="2:10" ht="16" outlineLevel="1">
      <c r="B129" s="29" t="s">
        <v>18</v>
      </c>
      <c r="C129" s="33" t="s">
        <v>86</v>
      </c>
      <c r="D129" s="29" t="s">
        <v>144</v>
      </c>
      <c r="E129" s="29" t="s">
        <v>193</v>
      </c>
      <c r="F129" s="29" t="s">
        <v>194</v>
      </c>
      <c r="G129" s="29" t="s">
        <v>6</v>
      </c>
      <c r="H129" s="29" t="s">
        <v>48</v>
      </c>
      <c r="I129" s="34">
        <v>375.0</v>
      </c>
      <c r="J129" s="34">
        <v>4782.290000000001</v>
      </c>
    </row>
    <row r="130" spans="2:10" ht="16" outlineLevel="1">
      <c r="B130" s="29" t="s">
        <v>18</v>
      </c>
      <c r="C130" s="33" t="s">
        <v>86</v>
      </c>
      <c r="D130" s="29" t="s">
        <v>15</v>
      </c>
      <c r="E130" s="29" t="s">
        <v>88</v>
      </c>
      <c r="F130" s="29" t="s">
        <v>89</v>
      </c>
      <c r="G130" s="29" t="s">
        <v>6</v>
      </c>
      <c r="H130" s="29" t="s">
        <v>3</v>
      </c>
      <c r="I130" s="34">
        <v>-103.55</v>
      </c>
      <c r="J130" s="34">
        <v>4678.740000000001</v>
      </c>
    </row>
    <row r="131" spans="2:10" ht="16" outlineLevel="1">
      <c r="B131" s="29" t="s">
        <v>18</v>
      </c>
      <c r="C131" s="33" t="s">
        <v>86</v>
      </c>
      <c r="D131" s="29" t="s">
        <v>144</v>
      </c>
      <c r="E131" s="29" t="s">
        <v>195</v>
      </c>
      <c r="F131" s="29" t="s">
        <v>196</v>
      </c>
      <c r="G131" s="29" t="s">
        <v>6</v>
      </c>
      <c r="H131" s="29" t="s">
        <v>6</v>
      </c>
      <c r="I131" s="34">
        <v>954.75</v>
      </c>
      <c r="J131" s="34">
        <v>5633.490000000001</v>
      </c>
    </row>
    <row r="132" spans="2:10" ht="16" outlineLevel="1">
      <c r="B132" s="29" t="s">
        <v>18</v>
      </c>
      <c r="C132" s="33" t="s">
        <v>86</v>
      </c>
      <c r="D132" s="29" t="s">
        <v>144</v>
      </c>
      <c r="E132" s="29" t="s">
        <v>197</v>
      </c>
      <c r="F132" s="29" t="s">
        <v>178</v>
      </c>
      <c r="G132" s="29" t="s">
        <v>6</v>
      </c>
      <c r="H132" s="29" t="s">
        <v>157</v>
      </c>
      <c r="I132" s="34">
        <v>80.0</v>
      </c>
      <c r="J132" s="34">
        <v>5713.490000000001</v>
      </c>
    </row>
    <row r="133" spans="2:10" ht="16" outlineLevel="1">
      <c r="B133" s="29" t="s">
        <v>18</v>
      </c>
      <c r="C133" s="33" t="s">
        <v>86</v>
      </c>
      <c r="D133" s="29" t="s">
        <v>144</v>
      </c>
      <c r="E133" s="29" t="s">
        <v>198</v>
      </c>
      <c r="F133" s="29" t="s">
        <v>153</v>
      </c>
      <c r="G133" s="29" t="s">
        <v>6</v>
      </c>
      <c r="H133" s="29" t="s">
        <v>93</v>
      </c>
      <c r="I133" s="34">
        <v>70.0</v>
      </c>
      <c r="J133" s="34">
        <v>5783.490000000001</v>
      </c>
    </row>
    <row r="134" spans="2:10" ht="16" outlineLevel="1">
      <c r="B134" s="29" t="s">
        <v>18</v>
      </c>
      <c r="C134" s="33" t="s">
        <v>95</v>
      </c>
      <c r="D134" s="29" t="s">
        <v>15</v>
      </c>
      <c r="E134" s="29" t="s">
        <v>6</v>
      </c>
      <c r="F134" s="29" t="s">
        <v>89</v>
      </c>
      <c r="G134" s="29" t="s">
        <v>6</v>
      </c>
      <c r="H134" s="29" t="s">
        <v>148</v>
      </c>
      <c r="I134" s="34">
        <v>-81.0</v>
      </c>
      <c r="J134" s="34">
        <v>5702.490000000001</v>
      </c>
    </row>
    <row r="135" spans="2:10" ht="16" outlineLevel="1">
      <c r="B135" s="29" t="s">
        <v>18</v>
      </c>
      <c r="C135" s="33" t="s">
        <v>95</v>
      </c>
      <c r="D135" s="29" t="s">
        <v>15</v>
      </c>
      <c r="E135" s="29" t="s">
        <v>6</v>
      </c>
      <c r="F135" s="29" t="s">
        <v>50</v>
      </c>
      <c r="G135" s="29" t="s">
        <v>6</v>
      </c>
      <c r="H135" s="29" t="s">
        <v>148</v>
      </c>
      <c r="I135" s="34">
        <v>-220.0</v>
      </c>
      <c r="J135" s="34">
        <v>5482.490000000001</v>
      </c>
    </row>
    <row r="136" spans="2:10" ht="16" outlineLevel="1">
      <c r="B136" s="29" t="s">
        <v>18</v>
      </c>
      <c r="C136" s="33" t="s">
        <v>95</v>
      </c>
      <c r="D136" s="29" t="s">
        <v>144</v>
      </c>
      <c r="E136" s="29" t="s">
        <v>199</v>
      </c>
      <c r="F136" s="29" t="s">
        <v>200</v>
      </c>
      <c r="G136" s="29" t="s">
        <v>6</v>
      </c>
      <c r="H136" s="29" t="s">
        <v>6</v>
      </c>
      <c r="I136" s="34">
        <v>629.1</v>
      </c>
      <c r="J136" s="34">
        <v>6111.590000000001</v>
      </c>
    </row>
    <row r="137" spans="2:10" ht="16" outlineLevel="1">
      <c r="B137" s="29" t="s">
        <v>18</v>
      </c>
      <c r="C137" s="33" t="s">
        <v>95</v>
      </c>
      <c r="D137" s="29" t="s">
        <v>144</v>
      </c>
      <c r="E137" s="29" t="s">
        <v>201</v>
      </c>
      <c r="F137" s="29" t="s">
        <v>202</v>
      </c>
      <c r="G137" s="29" t="s">
        <v>6</v>
      </c>
      <c r="H137" s="29" t="s">
        <v>6</v>
      </c>
      <c r="I137" s="34">
        <v>78.6</v>
      </c>
      <c r="J137" s="34">
        <v>6190.190000000001</v>
      </c>
    </row>
    <row r="138" spans="2:10" ht="16" outlineLevel="1">
      <c r="B138" s="29" t="s">
        <v>18</v>
      </c>
      <c r="C138" s="33" t="s">
        <v>101</v>
      </c>
      <c r="D138" s="29" t="s">
        <v>144</v>
      </c>
      <c r="E138" s="29" t="s">
        <v>203</v>
      </c>
      <c r="F138" s="29" t="s">
        <v>204</v>
      </c>
      <c r="G138" s="29" t="s">
        <v>6</v>
      </c>
      <c r="H138" s="29" t="s">
        <v>6</v>
      </c>
      <c r="I138" s="34">
        <v>314.28</v>
      </c>
      <c r="J138" s="34">
        <v>6504.470000000001</v>
      </c>
    </row>
    <row r="139" spans="2:10" ht="16" outlineLevel="1">
      <c r="B139" s="29" t="s">
        <v>18</v>
      </c>
      <c r="C139" s="33" t="s">
        <v>101</v>
      </c>
      <c r="D139" s="29" t="s">
        <v>15</v>
      </c>
      <c r="E139" s="29" t="s">
        <v>6</v>
      </c>
      <c r="F139" s="29" t="s">
        <v>70</v>
      </c>
      <c r="G139" s="29" t="s">
        <v>6</v>
      </c>
      <c r="H139" s="29" t="s">
        <v>148</v>
      </c>
      <c r="I139" s="34">
        <v>-1675.52</v>
      </c>
      <c r="J139" s="34">
        <v>4828.950000000001</v>
      </c>
    </row>
    <row r="140" spans="2:10" ht="16" outlineLevel="1">
      <c r="B140" s="29" t="s">
        <v>18</v>
      </c>
      <c r="C140" s="33" t="s">
        <v>101</v>
      </c>
      <c r="D140" s="29" t="s">
        <v>15</v>
      </c>
      <c r="E140" s="29" t="s">
        <v>6</v>
      </c>
      <c r="F140" s="29" t="s">
        <v>147</v>
      </c>
      <c r="G140" s="29" t="s">
        <v>6</v>
      </c>
      <c r="H140" s="29" t="s">
        <v>148</v>
      </c>
      <c r="I140" s="34">
        <v>-387.0</v>
      </c>
      <c r="J140" s="34">
        <v>4441.950000000001</v>
      </c>
    </row>
    <row r="141" spans="2:10" ht="16" outlineLevel="1">
      <c r="B141" s="29" t="s">
        <v>18</v>
      </c>
      <c r="C141" s="33" t="s">
        <v>101</v>
      </c>
      <c r="D141" s="29" t="s">
        <v>144</v>
      </c>
      <c r="E141" s="29" t="s">
        <v>205</v>
      </c>
      <c r="F141" s="29" t="s">
        <v>147</v>
      </c>
      <c r="G141" s="29" t="s">
        <v>6</v>
      </c>
      <c r="H141" s="29" t="s">
        <v>6</v>
      </c>
      <c r="I141" s="34">
        <v>477.5</v>
      </c>
      <c r="J141" s="34">
        <v>4919.450000000001</v>
      </c>
    </row>
    <row r="142" spans="2:10" ht="16" outlineLevel="1">
      <c r="B142" s="29" t="s">
        <v>18</v>
      </c>
      <c r="C142" s="33" t="s">
        <v>101</v>
      </c>
      <c r="D142" s="29" t="s">
        <v>144</v>
      </c>
      <c r="E142" s="29" t="s">
        <v>206</v>
      </c>
      <c r="F142" s="29" t="s">
        <v>207</v>
      </c>
      <c r="G142" s="29" t="s">
        <v>6</v>
      </c>
      <c r="H142" s="29" t="s">
        <v>6</v>
      </c>
      <c r="I142" s="34">
        <v>362.07</v>
      </c>
      <c r="J142" s="34">
        <v>5281.52</v>
      </c>
    </row>
    <row r="143" spans="1:9" ht="16">
      <c r="A143" s="40" t="s">
        <v>208</v>
      </c>
      <c r="I143" s="35">
        <f>I95+I96+I97+I98+I99+I100+I101+I102+I103+I104+I105+I106+I107+I108+I109+I110+I111+I112+I113+I114+I115+I116+I117+I118+I119+I120+I121+I122+I123+I124+I125+I126+I127+I128+I129+I130+I131+I132+I133+I134+I135+I136+I137+I138+I139+I140+I141+I142</f>
        <v>5281.52</v>
      </c>
    </row>
    <row r="144" spans="1:1" ht="16">
      <c r="A144" s="39" t="s">
        <v>157</v>
      </c>
    </row>
    <row r="145" spans="2:10" ht="16" outlineLevel="1">
      <c r="B145" s="29" t="s">
        <v>157</v>
      </c>
      <c r="C145" s="33" t="s">
        <v>143</v>
      </c>
      <c r="D145" s="29" t="s">
        <v>144</v>
      </c>
      <c r="E145" s="29" t="s">
        <v>145</v>
      </c>
      <c r="F145" s="29" t="s">
        <v>17</v>
      </c>
      <c r="G145" s="29" t="s">
        <v>6</v>
      </c>
      <c r="H145" s="29" t="s">
        <v>18</v>
      </c>
      <c r="I145" s="34">
        <v>140.0</v>
      </c>
      <c r="J145" s="34">
        <v>140.0</v>
      </c>
    </row>
    <row r="146" spans="2:10" ht="16" outlineLevel="1">
      <c r="B146" s="29" t="s">
        <v>157</v>
      </c>
      <c r="C146" s="33" t="s">
        <v>143</v>
      </c>
      <c r="D146" s="29" t="s">
        <v>144</v>
      </c>
      <c r="E146" s="29" t="s">
        <v>146</v>
      </c>
      <c r="F146" s="29" t="s">
        <v>147</v>
      </c>
      <c r="G146" s="29" t="s">
        <v>6</v>
      </c>
      <c r="H146" s="29" t="s">
        <v>18</v>
      </c>
      <c r="I146" s="34">
        <v>50.0</v>
      </c>
      <c r="J146" s="34">
        <v>190.0</v>
      </c>
    </row>
    <row r="147" spans="2:10" ht="16" outlineLevel="1">
      <c r="B147" s="29" t="s">
        <v>157</v>
      </c>
      <c r="C147" s="33" t="s">
        <v>149</v>
      </c>
      <c r="D147" s="29" t="s">
        <v>144</v>
      </c>
      <c r="E147" s="29" t="s">
        <v>150</v>
      </c>
      <c r="F147" s="29" t="s">
        <v>147</v>
      </c>
      <c r="G147" s="29" t="s">
        <v>6</v>
      </c>
      <c r="H147" s="29" t="s">
        <v>18</v>
      </c>
      <c r="I147" s="34">
        <v>90.0</v>
      </c>
      <c r="J147" s="34">
        <v>280.0</v>
      </c>
    </row>
    <row r="148" spans="2:10" ht="16" outlineLevel="1">
      <c r="B148" s="29" t="s">
        <v>157</v>
      </c>
      <c r="C148" s="33" t="s">
        <v>154</v>
      </c>
      <c r="D148" s="29" t="s">
        <v>144</v>
      </c>
      <c r="E148" s="29" t="s">
        <v>155</v>
      </c>
      <c r="F148" s="29" t="s">
        <v>156</v>
      </c>
      <c r="G148" s="29" t="s">
        <v>6</v>
      </c>
      <c r="H148" s="29" t="s">
        <v>18</v>
      </c>
      <c r="I148" s="34">
        <v>75.0</v>
      </c>
      <c r="J148" s="34">
        <v>355.0</v>
      </c>
    </row>
    <row r="149" spans="2:10" ht="16" outlineLevel="1">
      <c r="B149" s="29" t="s">
        <v>157</v>
      </c>
      <c r="C149" s="33" t="s">
        <v>158</v>
      </c>
      <c r="D149" s="29" t="s">
        <v>144</v>
      </c>
      <c r="E149" s="29" t="s">
        <v>159</v>
      </c>
      <c r="F149" s="29" t="s">
        <v>50</v>
      </c>
      <c r="G149" s="29" t="s">
        <v>6</v>
      </c>
      <c r="H149" s="29" t="s">
        <v>18</v>
      </c>
      <c r="I149" s="34">
        <v>120.0</v>
      </c>
      <c r="J149" s="34">
        <v>475.0</v>
      </c>
    </row>
    <row r="150" spans="2:10" ht="16" outlineLevel="1">
      <c r="B150" s="29" t="s">
        <v>157</v>
      </c>
      <c r="C150" s="33" t="s">
        <v>158</v>
      </c>
      <c r="D150" s="29" t="s">
        <v>144</v>
      </c>
      <c r="E150" s="29" t="s">
        <v>160</v>
      </c>
      <c r="F150" s="29" t="s">
        <v>17</v>
      </c>
      <c r="G150" s="29" t="s">
        <v>6</v>
      </c>
      <c r="H150" s="29" t="s">
        <v>18</v>
      </c>
      <c r="I150" s="34">
        <v>50.0</v>
      </c>
      <c r="J150" s="34">
        <v>525.0</v>
      </c>
    </row>
    <row r="151" spans="2:10" ht="16" outlineLevel="1">
      <c r="B151" s="29" t="s">
        <v>157</v>
      </c>
      <c r="C151" s="33" t="s">
        <v>158</v>
      </c>
      <c r="D151" s="29" t="s">
        <v>144</v>
      </c>
      <c r="E151" s="29" t="s">
        <v>161</v>
      </c>
      <c r="F151" s="29" t="s">
        <v>44</v>
      </c>
      <c r="G151" s="29" t="s">
        <v>6</v>
      </c>
      <c r="H151" s="29" t="s">
        <v>18</v>
      </c>
      <c r="I151" s="34">
        <v>75.0</v>
      </c>
      <c r="J151" s="34">
        <v>600.0</v>
      </c>
    </row>
    <row r="152" spans="2:10" ht="16" outlineLevel="1">
      <c r="B152" s="29" t="s">
        <v>157</v>
      </c>
      <c r="C152" s="33" t="s">
        <v>164</v>
      </c>
      <c r="D152" s="29" t="s">
        <v>144</v>
      </c>
      <c r="E152" s="29" t="s">
        <v>165</v>
      </c>
      <c r="F152" s="29" t="s">
        <v>44</v>
      </c>
      <c r="G152" s="29" t="s">
        <v>6</v>
      </c>
      <c r="H152" s="29" t="s">
        <v>18</v>
      </c>
      <c r="I152" s="34">
        <v>80.0</v>
      </c>
      <c r="J152" s="34">
        <v>680.0</v>
      </c>
    </row>
    <row r="153" spans="2:10" ht="16" outlineLevel="1">
      <c r="B153" s="29" t="s">
        <v>157</v>
      </c>
      <c r="C153" s="33" t="s">
        <v>169</v>
      </c>
      <c r="D153" s="29" t="s">
        <v>144</v>
      </c>
      <c r="E153" s="29" t="s">
        <v>171</v>
      </c>
      <c r="F153" s="29" t="s">
        <v>172</v>
      </c>
      <c r="G153" s="29" t="s">
        <v>6</v>
      </c>
      <c r="H153" s="29" t="s">
        <v>18</v>
      </c>
      <c r="I153" s="34">
        <v>75.0</v>
      </c>
      <c r="J153" s="34">
        <v>755.0</v>
      </c>
    </row>
    <row r="154" spans="2:10" ht="16" outlineLevel="1">
      <c r="B154" s="29" t="s">
        <v>157</v>
      </c>
      <c r="C154" s="33" t="s">
        <v>112</v>
      </c>
      <c r="D154" s="29" t="s">
        <v>144</v>
      </c>
      <c r="E154" s="29" t="s">
        <v>177</v>
      </c>
      <c r="F154" s="29" t="s">
        <v>178</v>
      </c>
      <c r="G154" s="29" t="s">
        <v>6</v>
      </c>
      <c r="H154" s="29" t="s">
        <v>18</v>
      </c>
      <c r="I154" s="34">
        <v>80.0</v>
      </c>
      <c r="J154" s="34">
        <v>835.0</v>
      </c>
    </row>
    <row r="155" spans="2:10" ht="16" outlineLevel="1">
      <c r="B155" s="29" t="s">
        <v>157</v>
      </c>
      <c r="C155" s="33" t="s">
        <v>181</v>
      </c>
      <c r="D155" s="29" t="s">
        <v>144</v>
      </c>
      <c r="E155" s="29" t="s">
        <v>183</v>
      </c>
      <c r="F155" s="29" t="s">
        <v>89</v>
      </c>
      <c r="G155" s="29" t="s">
        <v>6</v>
      </c>
      <c r="H155" s="29" t="s">
        <v>18</v>
      </c>
      <c r="I155" s="34">
        <v>75.0</v>
      </c>
      <c r="J155" s="34">
        <v>910.0</v>
      </c>
    </row>
    <row r="156" spans="2:10" ht="16" outlineLevel="1">
      <c r="B156" s="29" t="s">
        <v>157</v>
      </c>
      <c r="C156" s="33" t="s">
        <v>57</v>
      </c>
      <c r="D156" s="29" t="s">
        <v>144</v>
      </c>
      <c r="E156" s="29" t="s">
        <v>184</v>
      </c>
      <c r="F156" s="29" t="s">
        <v>44</v>
      </c>
      <c r="G156" s="29" t="s">
        <v>6</v>
      </c>
      <c r="H156" s="29" t="s">
        <v>18</v>
      </c>
      <c r="I156" s="34">
        <v>50.0</v>
      </c>
      <c r="J156" s="34">
        <v>960.0</v>
      </c>
    </row>
    <row r="157" spans="2:10" ht="16" outlineLevel="1">
      <c r="B157" s="29" t="s">
        <v>157</v>
      </c>
      <c r="C157" s="33" t="s">
        <v>57</v>
      </c>
      <c r="D157" s="29" t="s">
        <v>144</v>
      </c>
      <c r="E157" s="29" t="s">
        <v>185</v>
      </c>
      <c r="F157" s="29" t="s">
        <v>178</v>
      </c>
      <c r="G157" s="29" t="s">
        <v>6</v>
      </c>
      <c r="H157" s="29" t="s">
        <v>18</v>
      </c>
      <c r="I157" s="34">
        <v>80.0</v>
      </c>
      <c r="J157" s="34">
        <v>1040.0</v>
      </c>
    </row>
    <row r="158" spans="2:10" ht="16" outlineLevel="1">
      <c r="B158" s="29" t="s">
        <v>157</v>
      </c>
      <c r="C158" s="33" t="s">
        <v>82</v>
      </c>
      <c r="D158" s="29" t="s">
        <v>45</v>
      </c>
      <c r="E158" s="29" t="s">
        <v>209</v>
      </c>
      <c r="F158" s="29" t="s">
        <v>210</v>
      </c>
      <c r="G158" s="29" t="s">
        <v>6</v>
      </c>
      <c r="H158" s="29" t="s">
        <v>148</v>
      </c>
      <c r="I158" s="34">
        <v>140.0</v>
      </c>
      <c r="J158" s="34">
        <v>1180.0</v>
      </c>
    </row>
    <row r="159" spans="2:10" ht="16" outlineLevel="1">
      <c r="B159" s="29" t="s">
        <v>157</v>
      </c>
      <c r="C159" s="33" t="s">
        <v>83</v>
      </c>
      <c r="D159" s="29" t="s">
        <v>144</v>
      </c>
      <c r="E159" s="29" t="s">
        <v>186</v>
      </c>
      <c r="F159" s="29" t="s">
        <v>50</v>
      </c>
      <c r="G159" s="29" t="s">
        <v>187</v>
      </c>
      <c r="H159" s="29" t="s">
        <v>18</v>
      </c>
      <c r="I159" s="34">
        <v>100.0</v>
      </c>
      <c r="J159" s="34">
        <v>1280.0</v>
      </c>
    </row>
    <row r="160" spans="2:10" ht="16" outlineLevel="1">
      <c r="B160" s="29" t="s">
        <v>157</v>
      </c>
      <c r="C160" s="33" t="s">
        <v>86</v>
      </c>
      <c r="D160" s="29" t="s">
        <v>144</v>
      </c>
      <c r="E160" s="29" t="s">
        <v>197</v>
      </c>
      <c r="F160" s="29" t="s">
        <v>178</v>
      </c>
      <c r="G160" s="29" t="s">
        <v>6</v>
      </c>
      <c r="H160" s="29" t="s">
        <v>18</v>
      </c>
      <c r="I160" s="34">
        <v>80.0</v>
      </c>
      <c r="J160" s="34">
        <v>1360.0</v>
      </c>
    </row>
    <row r="161" spans="2:10" ht="16" outlineLevel="1">
      <c r="B161" s="29" t="s">
        <v>157</v>
      </c>
      <c r="C161" s="33" t="s">
        <v>95</v>
      </c>
      <c r="D161" s="29" t="s">
        <v>144</v>
      </c>
      <c r="E161" s="29" t="s">
        <v>201</v>
      </c>
      <c r="F161" s="29" t="s">
        <v>202</v>
      </c>
      <c r="G161" s="29" t="s">
        <v>6</v>
      </c>
      <c r="H161" s="29" t="s">
        <v>18</v>
      </c>
      <c r="I161" s="34">
        <v>30.0</v>
      </c>
      <c r="J161" s="34">
        <v>1390.0</v>
      </c>
    </row>
    <row r="162" spans="2:10" ht="16" outlineLevel="1">
      <c r="B162" s="29" t="s">
        <v>157</v>
      </c>
      <c r="C162" s="33" t="s">
        <v>101</v>
      </c>
      <c r="D162" s="29" t="s">
        <v>144</v>
      </c>
      <c r="E162" s="29" t="s">
        <v>205</v>
      </c>
      <c r="F162" s="29" t="s">
        <v>147</v>
      </c>
      <c r="G162" s="29" t="s">
        <v>6</v>
      </c>
      <c r="H162" s="29" t="s">
        <v>18</v>
      </c>
      <c r="I162" s="34">
        <v>87.5</v>
      </c>
      <c r="J162" s="34">
        <v>1477.5</v>
      </c>
    </row>
    <row r="163" spans="1:9" ht="16" outlineLevel="1">
      <c r="A163" s="40" t="s">
        <v>211</v>
      </c>
      <c r="I163" s="35">
        <f>I145+I146+I147+I148+I149+I150+I151+I152+I153+I154+I155+I156+I157+I158+I159+I160+I161+I162</f>
        <v>1477.5</v>
      </c>
    </row>
    <row r="164" spans="1:1" ht="16" outlineLevel="1">
      <c r="A164" s="41" t="s">
        <v>212</v>
      </c>
    </row>
    <row r="165" spans="1:1" ht="16" outlineLevel="2">
      <c r="A165" s="42" t="s">
        <v>34</v>
      </c>
    </row>
    <row r="166" spans="2:10" ht="16" outlineLevel="3">
      <c r="B166" s="29" t="s">
        <v>34</v>
      </c>
      <c r="C166" s="33" t="s">
        <v>143</v>
      </c>
      <c r="D166" s="29" t="s">
        <v>144</v>
      </c>
      <c r="E166" s="29" t="s">
        <v>146</v>
      </c>
      <c r="F166" s="29" t="s">
        <v>147</v>
      </c>
      <c r="G166" s="29" t="s">
        <v>6</v>
      </c>
      <c r="H166" s="29" t="s">
        <v>18</v>
      </c>
      <c r="I166" s="34">
        <v>131.25</v>
      </c>
      <c r="J166" s="34">
        <v>131.25</v>
      </c>
    </row>
    <row r="167" spans="2:10" ht="16" outlineLevel="3">
      <c r="B167" s="29" t="s">
        <v>34</v>
      </c>
      <c r="C167" s="33" t="s">
        <v>169</v>
      </c>
      <c r="D167" s="29" t="s">
        <v>144</v>
      </c>
      <c r="E167" s="29" t="s">
        <v>170</v>
      </c>
      <c r="F167" s="29" t="s">
        <v>50</v>
      </c>
      <c r="G167" s="29" t="s">
        <v>6</v>
      </c>
      <c r="H167" s="29" t="s">
        <v>18</v>
      </c>
      <c r="I167" s="34">
        <v>150.0</v>
      </c>
      <c r="J167" s="34">
        <v>281.25</v>
      </c>
    </row>
    <row r="168" spans="2:10" ht="16" outlineLevel="3">
      <c r="B168" s="29" t="s">
        <v>34</v>
      </c>
      <c r="C168" s="33" t="s">
        <v>55</v>
      </c>
      <c r="D168" s="29" t="s">
        <v>20</v>
      </c>
      <c r="E168" s="29" t="s">
        <v>56</v>
      </c>
      <c r="F168" s="29" t="s">
        <v>54</v>
      </c>
      <c r="G168" s="29" t="s">
        <v>6</v>
      </c>
      <c r="H168" s="29" t="s">
        <v>3</v>
      </c>
      <c r="I168" s="34">
        <v>-24.36</v>
      </c>
      <c r="J168" s="34">
        <v>256.89</v>
      </c>
    </row>
    <row r="169" spans="2:10" ht="16" outlineLevel="3">
      <c r="B169" s="29" t="s">
        <v>34</v>
      </c>
      <c r="C169" s="33" t="s">
        <v>181</v>
      </c>
      <c r="D169" s="29" t="s">
        <v>144</v>
      </c>
      <c r="E169" s="29" t="s">
        <v>182</v>
      </c>
      <c r="F169" s="29" t="s">
        <v>70</v>
      </c>
      <c r="G169" s="29" t="s">
        <v>6</v>
      </c>
      <c r="H169" s="29" t="s">
        <v>18</v>
      </c>
      <c r="I169" s="34">
        <v>1750.0</v>
      </c>
      <c r="J169" s="34">
        <v>2006.8899999999999</v>
      </c>
    </row>
    <row r="170" spans="2:10" ht="16" outlineLevel="3">
      <c r="B170" s="29" t="s">
        <v>34</v>
      </c>
      <c r="C170" s="33" t="s">
        <v>213</v>
      </c>
      <c r="D170" s="29" t="s">
        <v>20</v>
      </c>
      <c r="E170" s="29" t="s">
        <v>214</v>
      </c>
      <c r="F170" s="29" t="s">
        <v>33</v>
      </c>
      <c r="G170" s="29" t="s">
        <v>6</v>
      </c>
      <c r="H170" s="29" t="s">
        <v>110</v>
      </c>
      <c r="I170" s="34">
        <v>-54.92</v>
      </c>
      <c r="J170" s="34">
        <v>1951.9699999999998</v>
      </c>
    </row>
    <row r="171" spans="2:10" ht="16" outlineLevel="3">
      <c r="B171" s="29" t="s">
        <v>34</v>
      </c>
      <c r="C171" s="33" t="s">
        <v>83</v>
      </c>
      <c r="D171" s="29" t="s">
        <v>144</v>
      </c>
      <c r="E171" s="29" t="s">
        <v>190</v>
      </c>
      <c r="F171" s="29" t="s">
        <v>89</v>
      </c>
      <c r="G171" s="29" t="s">
        <v>6</v>
      </c>
      <c r="H171" s="29" t="s">
        <v>18</v>
      </c>
      <c r="I171" s="34">
        <v>300.0</v>
      </c>
      <c r="J171" s="34">
        <v>2251.97</v>
      </c>
    </row>
    <row r="172" spans="2:10" ht="16" outlineLevel="3">
      <c r="B172" s="29" t="s">
        <v>34</v>
      </c>
      <c r="C172" s="33" t="s">
        <v>101</v>
      </c>
      <c r="D172" s="29" t="s">
        <v>144</v>
      </c>
      <c r="E172" s="29" t="s">
        <v>205</v>
      </c>
      <c r="F172" s="29" t="s">
        <v>147</v>
      </c>
      <c r="G172" s="29" t="s">
        <v>6</v>
      </c>
      <c r="H172" s="29" t="s">
        <v>18</v>
      </c>
      <c r="I172" s="34">
        <v>50.0</v>
      </c>
      <c r="J172" s="34">
        <v>2301.97</v>
      </c>
    </row>
    <row r="173" spans="2:10" ht="16" outlineLevel="3">
      <c r="B173" s="29" t="s">
        <v>34</v>
      </c>
      <c r="C173" s="33" t="s">
        <v>101</v>
      </c>
      <c r="D173" s="29" t="s">
        <v>144</v>
      </c>
      <c r="E173" s="29" t="s">
        <v>205</v>
      </c>
      <c r="F173" s="29" t="s">
        <v>147</v>
      </c>
      <c r="G173" s="29" t="s">
        <v>6</v>
      </c>
      <c r="H173" s="29" t="s">
        <v>18</v>
      </c>
      <c r="I173" s="34">
        <v>50.0</v>
      </c>
      <c r="J173" s="34">
        <v>2351.97</v>
      </c>
    </row>
    <row r="174" spans="1:9" ht="16" outlineLevel="2">
      <c r="A174" s="43" t="s">
        <v>215</v>
      </c>
      <c r="I174" s="35">
        <f>I165+I166+I167+I168+I169+I170+I171+I172+I173</f>
        <v>2351.97</v>
      </c>
    </row>
    <row r="175" spans="1:1" ht="16" outlineLevel="2">
      <c r="A175" s="42" t="s">
        <v>216</v>
      </c>
    </row>
    <row r="176" spans="2:10" ht="16" outlineLevel="3">
      <c r="B176" s="29" t="s">
        <v>216</v>
      </c>
      <c r="C176" s="33" t="s">
        <v>149</v>
      </c>
      <c r="D176" s="29" t="s">
        <v>144</v>
      </c>
      <c r="E176" s="29" t="s">
        <v>150</v>
      </c>
      <c r="F176" s="29" t="s">
        <v>147</v>
      </c>
      <c r="G176" s="29" t="s">
        <v>6</v>
      </c>
      <c r="H176" s="29" t="s">
        <v>18</v>
      </c>
      <c r="I176" s="34">
        <v>275.0</v>
      </c>
      <c r="J176" s="34">
        <v>275.0</v>
      </c>
    </row>
    <row r="177" spans="2:10" ht="16" outlineLevel="3">
      <c r="B177" s="29" t="s">
        <v>216</v>
      </c>
      <c r="C177" s="33" t="s">
        <v>151</v>
      </c>
      <c r="D177" s="29" t="s">
        <v>144</v>
      </c>
      <c r="E177" s="29" t="s">
        <v>152</v>
      </c>
      <c r="F177" s="29" t="s">
        <v>153</v>
      </c>
      <c r="G177" s="29" t="s">
        <v>6</v>
      </c>
      <c r="H177" s="29" t="s">
        <v>18</v>
      </c>
      <c r="I177" s="34">
        <v>48.0</v>
      </c>
      <c r="J177" s="34">
        <v>323.0</v>
      </c>
    </row>
    <row r="178" spans="2:10" ht="16" outlineLevel="3">
      <c r="B178" s="29" t="s">
        <v>216</v>
      </c>
      <c r="C178" s="33" t="s">
        <v>158</v>
      </c>
      <c r="D178" s="29" t="s">
        <v>144</v>
      </c>
      <c r="E178" s="29" t="s">
        <v>162</v>
      </c>
      <c r="F178" s="29" t="s">
        <v>163</v>
      </c>
      <c r="G178" s="29" t="s">
        <v>6</v>
      </c>
      <c r="H178" s="29" t="s">
        <v>18</v>
      </c>
      <c r="I178" s="34">
        <v>75.0</v>
      </c>
      <c r="J178" s="34">
        <v>398.0</v>
      </c>
    </row>
    <row r="179" spans="2:10" ht="16" outlineLevel="3">
      <c r="B179" s="29" t="s">
        <v>216</v>
      </c>
      <c r="C179" s="33" t="s">
        <v>158</v>
      </c>
      <c r="D179" s="29" t="s">
        <v>144</v>
      </c>
      <c r="E179" s="29" t="s">
        <v>162</v>
      </c>
      <c r="F179" s="29" t="s">
        <v>163</v>
      </c>
      <c r="G179" s="29" t="s">
        <v>6</v>
      </c>
      <c r="H179" s="29" t="s">
        <v>18</v>
      </c>
      <c r="I179" s="34">
        <v>72.0</v>
      </c>
      <c r="J179" s="34">
        <v>470.0</v>
      </c>
    </row>
    <row r="180" spans="2:10" ht="16" outlineLevel="3">
      <c r="B180" s="29" t="s">
        <v>216</v>
      </c>
      <c r="C180" s="33" t="s">
        <v>158</v>
      </c>
      <c r="D180" s="29" t="s">
        <v>144</v>
      </c>
      <c r="E180" s="29" t="s">
        <v>162</v>
      </c>
      <c r="F180" s="29" t="s">
        <v>163</v>
      </c>
      <c r="G180" s="29" t="s">
        <v>6</v>
      </c>
      <c r="H180" s="29" t="s">
        <v>18</v>
      </c>
      <c r="I180" s="34">
        <v>275.0</v>
      </c>
      <c r="J180" s="34">
        <v>745.0</v>
      </c>
    </row>
    <row r="181" spans="2:10" ht="16" outlineLevel="3">
      <c r="B181" s="29" t="s">
        <v>216</v>
      </c>
      <c r="C181" s="33" t="s">
        <v>169</v>
      </c>
      <c r="D181" s="29" t="s">
        <v>144</v>
      </c>
      <c r="E181" s="29" t="s">
        <v>170</v>
      </c>
      <c r="F181" s="29" t="s">
        <v>50</v>
      </c>
      <c r="G181" s="29" t="s">
        <v>6</v>
      </c>
      <c r="H181" s="29" t="s">
        <v>18</v>
      </c>
      <c r="I181" s="34">
        <v>275.0</v>
      </c>
      <c r="J181" s="34">
        <v>1020.0</v>
      </c>
    </row>
    <row r="182" spans="2:10" ht="16" outlineLevel="3">
      <c r="B182" s="29" t="s">
        <v>216</v>
      </c>
      <c r="C182" s="33" t="s">
        <v>135</v>
      </c>
      <c r="D182" s="29" t="s">
        <v>144</v>
      </c>
      <c r="E182" s="29" t="s">
        <v>179</v>
      </c>
      <c r="F182" s="29" t="s">
        <v>180</v>
      </c>
      <c r="G182" s="29" t="s">
        <v>6</v>
      </c>
      <c r="H182" s="29" t="s">
        <v>18</v>
      </c>
      <c r="I182" s="34">
        <v>275.0</v>
      </c>
      <c r="J182" s="34">
        <v>1295.0</v>
      </c>
    </row>
    <row r="183" spans="2:10" ht="16" outlineLevel="3">
      <c r="B183" s="29" t="s">
        <v>216</v>
      </c>
      <c r="C183" s="33" t="s">
        <v>83</v>
      </c>
      <c r="D183" s="29" t="s">
        <v>144</v>
      </c>
      <c r="E183" s="29" t="s">
        <v>190</v>
      </c>
      <c r="F183" s="29" t="s">
        <v>89</v>
      </c>
      <c r="G183" s="29" t="s">
        <v>6</v>
      </c>
      <c r="H183" s="29" t="s">
        <v>18</v>
      </c>
      <c r="I183" s="34">
        <v>84.0</v>
      </c>
      <c r="J183" s="34">
        <v>1379.0</v>
      </c>
    </row>
    <row r="184" spans="2:10" ht="16" outlineLevel="3">
      <c r="B184" s="29" t="s">
        <v>216</v>
      </c>
      <c r="C184" s="33" t="s">
        <v>86</v>
      </c>
      <c r="D184" s="29" t="s">
        <v>144</v>
      </c>
      <c r="E184" s="29" t="s">
        <v>195</v>
      </c>
      <c r="F184" s="29" t="s">
        <v>196</v>
      </c>
      <c r="G184" s="29" t="s">
        <v>6</v>
      </c>
      <c r="H184" s="29" t="s">
        <v>18</v>
      </c>
      <c r="I184" s="34">
        <v>275.0</v>
      </c>
      <c r="J184" s="34">
        <v>1654.0</v>
      </c>
    </row>
    <row r="185" spans="2:10" ht="16" outlineLevel="3">
      <c r="B185" s="29" t="s">
        <v>216</v>
      </c>
      <c r="C185" s="33" t="s">
        <v>86</v>
      </c>
      <c r="D185" s="29" t="s">
        <v>144</v>
      </c>
      <c r="E185" s="29" t="s">
        <v>195</v>
      </c>
      <c r="F185" s="29" t="s">
        <v>196</v>
      </c>
      <c r="G185" s="29" t="s">
        <v>6</v>
      </c>
      <c r="H185" s="29" t="s">
        <v>18</v>
      </c>
      <c r="I185" s="34">
        <v>180.0</v>
      </c>
      <c r="J185" s="34">
        <v>1834.0</v>
      </c>
    </row>
    <row r="186" spans="2:10" ht="16" outlineLevel="3">
      <c r="B186" s="29" t="s">
        <v>216</v>
      </c>
      <c r="C186" s="33" t="s">
        <v>95</v>
      </c>
      <c r="D186" s="29" t="s">
        <v>144</v>
      </c>
      <c r="E186" s="29" t="s">
        <v>199</v>
      </c>
      <c r="F186" s="29" t="s">
        <v>200</v>
      </c>
      <c r="G186" s="29" t="s">
        <v>6</v>
      </c>
      <c r="H186" s="29" t="s">
        <v>18</v>
      </c>
      <c r="I186" s="34">
        <v>275.0</v>
      </c>
      <c r="J186" s="34">
        <v>2109.0</v>
      </c>
    </row>
    <row r="187" spans="2:10" ht="16" outlineLevel="3">
      <c r="B187" s="29" t="s">
        <v>216</v>
      </c>
      <c r="C187" s="33" t="s">
        <v>95</v>
      </c>
      <c r="D187" s="29" t="s">
        <v>144</v>
      </c>
      <c r="E187" s="29" t="s">
        <v>199</v>
      </c>
      <c r="F187" s="29" t="s">
        <v>200</v>
      </c>
      <c r="G187" s="29" t="s">
        <v>6</v>
      </c>
      <c r="H187" s="29" t="s">
        <v>18</v>
      </c>
      <c r="I187" s="34">
        <v>45.0</v>
      </c>
      <c r="J187" s="34">
        <v>2154.0</v>
      </c>
    </row>
    <row r="188" spans="2:10" ht="16" outlineLevel="3">
      <c r="B188" s="29" t="s">
        <v>216</v>
      </c>
      <c r="C188" s="33" t="s">
        <v>95</v>
      </c>
      <c r="D188" s="29" t="s">
        <v>144</v>
      </c>
      <c r="E188" s="29" t="s">
        <v>201</v>
      </c>
      <c r="F188" s="29" t="s">
        <v>202</v>
      </c>
      <c r="G188" s="29" t="s">
        <v>6</v>
      </c>
      <c r="H188" s="29" t="s">
        <v>18</v>
      </c>
      <c r="I188" s="34">
        <v>45.0</v>
      </c>
      <c r="J188" s="34">
        <v>2199.0</v>
      </c>
    </row>
    <row r="189" spans="2:10" ht="16" outlineLevel="3">
      <c r="B189" s="29" t="s">
        <v>216</v>
      </c>
      <c r="C189" s="33" t="s">
        <v>101</v>
      </c>
      <c r="D189" s="29" t="s">
        <v>144</v>
      </c>
      <c r="E189" s="29" t="s">
        <v>206</v>
      </c>
      <c r="F189" s="29" t="s">
        <v>207</v>
      </c>
      <c r="G189" s="29" t="s">
        <v>6</v>
      </c>
      <c r="H189" s="29" t="s">
        <v>18</v>
      </c>
      <c r="I189" s="34">
        <v>47.5</v>
      </c>
      <c r="J189" s="34">
        <v>2246.5</v>
      </c>
    </row>
    <row r="190" spans="1:9" ht="16" outlineLevel="2">
      <c r="A190" s="43" t="s">
        <v>217</v>
      </c>
      <c r="I190" s="35">
        <f>I175+I176+I177+I178+I179+I180+I181+I182+I183+I184+I185+I186+I187+I188+I189</f>
        <v>2246.5</v>
      </c>
    </row>
    <row r="191" spans="1:1" ht="16" outlineLevel="2">
      <c r="A191" s="42" t="s">
        <v>78</v>
      </c>
    </row>
    <row r="192" spans="2:10" ht="16" outlineLevel="3">
      <c r="B192" s="29" t="s">
        <v>78</v>
      </c>
      <c r="C192" s="33" t="s">
        <v>151</v>
      </c>
      <c r="D192" s="29" t="s">
        <v>144</v>
      </c>
      <c r="E192" s="29" t="s">
        <v>152</v>
      </c>
      <c r="F192" s="29" t="s">
        <v>153</v>
      </c>
      <c r="G192" s="29" t="s">
        <v>6</v>
      </c>
      <c r="H192" s="29" t="s">
        <v>18</v>
      </c>
      <c r="I192" s="34">
        <v>48.0</v>
      </c>
      <c r="J192" s="34">
        <v>48.0</v>
      </c>
    </row>
    <row r="193" spans="2:10" ht="16" outlineLevel="3">
      <c r="B193" s="29" t="s">
        <v>78</v>
      </c>
      <c r="C193" s="33" t="s">
        <v>151</v>
      </c>
      <c r="D193" s="29" t="s">
        <v>144</v>
      </c>
      <c r="E193" s="29" t="s">
        <v>152</v>
      </c>
      <c r="F193" s="29" t="s">
        <v>153</v>
      </c>
      <c r="G193" s="29" t="s">
        <v>6</v>
      </c>
      <c r="H193" s="29" t="s">
        <v>18</v>
      </c>
      <c r="I193" s="34">
        <v>60.0</v>
      </c>
      <c r="J193" s="34">
        <v>108.0</v>
      </c>
    </row>
    <row r="194" spans="2:10" ht="16" outlineLevel="3">
      <c r="B194" s="29" t="s">
        <v>78</v>
      </c>
      <c r="C194" s="33" t="s">
        <v>135</v>
      </c>
      <c r="D194" s="29" t="s">
        <v>144</v>
      </c>
      <c r="E194" s="29" t="s">
        <v>179</v>
      </c>
      <c r="F194" s="29" t="s">
        <v>180</v>
      </c>
      <c r="G194" s="29" t="s">
        <v>6</v>
      </c>
      <c r="H194" s="29" t="s">
        <v>18</v>
      </c>
      <c r="I194" s="34">
        <v>30.0</v>
      </c>
      <c r="J194" s="34">
        <v>138.0</v>
      </c>
    </row>
    <row r="195" spans="1:9" ht="16" outlineLevel="2">
      <c r="A195" s="43" t="s">
        <v>218</v>
      </c>
      <c r="I195" s="35">
        <f>I191+I192+I193+I194</f>
        <v>138.0</v>
      </c>
    </row>
    <row r="196" spans="1:9" ht="16" outlineLevel="1">
      <c r="A196" s="44" t="s">
        <v>219</v>
      </c>
      <c r="I196" s="35">
        <f>I164+I174+I190+I195</f>
        <v>4736.469999999999</v>
      </c>
    </row>
    <row r="197" spans="1:1" ht="16" outlineLevel="1">
      <c r="A197" s="41" t="s">
        <v>220</v>
      </c>
    </row>
    <row r="198" spans="1:1" ht="16" outlineLevel="2">
      <c r="A198" s="42" t="s">
        <v>67</v>
      </c>
    </row>
    <row r="199" spans="2:10" ht="16" outlineLevel="3">
      <c r="B199" s="29" t="s">
        <v>67</v>
      </c>
      <c r="C199" s="33" t="s">
        <v>158</v>
      </c>
      <c r="D199" s="29" t="s">
        <v>144</v>
      </c>
      <c r="E199" s="29" t="s">
        <v>159</v>
      </c>
      <c r="F199" s="29" t="s">
        <v>50</v>
      </c>
      <c r="G199" s="29" t="s">
        <v>6</v>
      </c>
      <c r="H199" s="29" t="s">
        <v>18</v>
      </c>
      <c r="I199" s="34">
        <v>50.0</v>
      </c>
      <c r="J199" s="34">
        <v>50.0</v>
      </c>
    </row>
    <row r="200" spans="1:9" ht="16" outlineLevel="2">
      <c r="A200" s="43" t="s">
        <v>221</v>
      </c>
      <c r="I200" s="35">
        <f>I198+I199</f>
        <v>50.0</v>
      </c>
    </row>
    <row r="201" spans="1:1" ht="16" outlineLevel="2">
      <c r="A201" s="42" t="s">
        <v>222</v>
      </c>
    </row>
    <row r="202" spans="2:10" ht="16" outlineLevel="3">
      <c r="B202" s="29" t="s">
        <v>222</v>
      </c>
      <c r="C202" s="33" t="s">
        <v>86</v>
      </c>
      <c r="D202" s="29" t="s">
        <v>144</v>
      </c>
      <c r="E202" s="29" t="s">
        <v>195</v>
      </c>
      <c r="F202" s="29" t="s">
        <v>196</v>
      </c>
      <c r="G202" s="29" t="s">
        <v>6</v>
      </c>
      <c r="H202" s="29" t="s">
        <v>18</v>
      </c>
      <c r="I202" s="34">
        <v>250.0</v>
      </c>
      <c r="J202" s="34">
        <v>250.0</v>
      </c>
    </row>
    <row r="203" spans="1:9" ht="16" outlineLevel="2">
      <c r="A203" s="43" t="s">
        <v>223</v>
      </c>
      <c r="I203" s="35">
        <f>I201+I202</f>
        <v>250.0</v>
      </c>
    </row>
    <row r="204" spans="1:9" ht="16" outlineLevel="1">
      <c r="A204" s="44" t="s">
        <v>224</v>
      </c>
      <c r="I204" s="35">
        <f>I197+I200+I203</f>
        <v>300.0</v>
      </c>
    </row>
    <row r="205" spans="1:9" ht="16">
      <c r="A205" s="40" t="s">
        <v>225</v>
      </c>
      <c r="I205" s="35">
        <v>6513.969999999999</v>
      </c>
    </row>
    <row r="206" spans="1:1" ht="16">
      <c r="A206" s="39" t="s">
        <v>93</v>
      </c>
    </row>
    <row r="207" spans="2:10" ht="16" outlineLevel="1">
      <c r="B207" s="29" t="s">
        <v>93</v>
      </c>
      <c r="C207" s="33" t="s">
        <v>143</v>
      </c>
      <c r="D207" s="29" t="s">
        <v>144</v>
      </c>
      <c r="E207" s="29" t="s">
        <v>145</v>
      </c>
      <c r="F207" s="29" t="s">
        <v>17</v>
      </c>
      <c r="G207" s="29" t="s">
        <v>6</v>
      </c>
      <c r="H207" s="29" t="s">
        <v>18</v>
      </c>
      <c r="I207" s="34">
        <v>35.0</v>
      </c>
      <c r="J207" s="34">
        <v>35.0</v>
      </c>
    </row>
    <row r="208" spans="2:10" ht="16" outlineLevel="1">
      <c r="B208" s="29" t="s">
        <v>93</v>
      </c>
      <c r="C208" s="33" t="s">
        <v>143</v>
      </c>
      <c r="D208" s="29" t="s">
        <v>144</v>
      </c>
      <c r="E208" s="29" t="s">
        <v>146</v>
      </c>
      <c r="F208" s="29" t="s">
        <v>147</v>
      </c>
      <c r="G208" s="29" t="s">
        <v>6</v>
      </c>
      <c r="H208" s="29" t="s">
        <v>18</v>
      </c>
      <c r="I208" s="34">
        <v>35.0</v>
      </c>
      <c r="J208" s="34">
        <v>70.0</v>
      </c>
    </row>
    <row r="209" spans="2:10" ht="16" outlineLevel="1">
      <c r="B209" s="29" t="s">
        <v>93</v>
      </c>
      <c r="C209" s="33" t="s">
        <v>158</v>
      </c>
      <c r="D209" s="29" t="s">
        <v>144</v>
      </c>
      <c r="E209" s="29" t="s">
        <v>159</v>
      </c>
      <c r="F209" s="29" t="s">
        <v>50</v>
      </c>
      <c r="G209" s="29" t="s">
        <v>6</v>
      </c>
      <c r="H209" s="29" t="s">
        <v>18</v>
      </c>
      <c r="I209" s="34">
        <v>35.0</v>
      </c>
      <c r="J209" s="34">
        <v>105.0</v>
      </c>
    </row>
    <row r="210" spans="2:10" ht="16" outlineLevel="1">
      <c r="B210" s="29" t="s">
        <v>93</v>
      </c>
      <c r="C210" s="33" t="s">
        <v>158</v>
      </c>
      <c r="D210" s="29" t="s">
        <v>144</v>
      </c>
      <c r="E210" s="29" t="s">
        <v>160</v>
      </c>
      <c r="F210" s="29" t="s">
        <v>17</v>
      </c>
      <c r="G210" s="29" t="s">
        <v>6</v>
      </c>
      <c r="H210" s="29" t="s">
        <v>18</v>
      </c>
      <c r="I210" s="34">
        <v>35.0</v>
      </c>
      <c r="J210" s="34">
        <v>140.0</v>
      </c>
    </row>
    <row r="211" spans="2:10" ht="16" outlineLevel="1">
      <c r="B211" s="29" t="s">
        <v>93</v>
      </c>
      <c r="C211" s="33" t="s">
        <v>173</v>
      </c>
      <c r="D211" s="29" t="s">
        <v>174</v>
      </c>
      <c r="E211" s="29" t="s">
        <v>175</v>
      </c>
      <c r="F211" s="29" t="s">
        <v>50</v>
      </c>
      <c r="G211" s="29" t="s">
        <v>6</v>
      </c>
      <c r="H211" s="29" t="s">
        <v>18</v>
      </c>
      <c r="I211" s="34">
        <v>-100.0</v>
      </c>
      <c r="J211" s="34">
        <v>40.0</v>
      </c>
    </row>
    <row r="212" spans="2:10" ht="16" outlineLevel="1">
      <c r="B212" s="29" t="s">
        <v>93</v>
      </c>
      <c r="C212" s="33" t="s">
        <v>86</v>
      </c>
      <c r="D212" s="29" t="s">
        <v>45</v>
      </c>
      <c r="E212" s="29" t="s">
        <v>226</v>
      </c>
      <c r="F212" s="29" t="s">
        <v>92</v>
      </c>
      <c r="G212" s="29" t="s">
        <v>6</v>
      </c>
      <c r="H212" s="29" t="s">
        <v>148</v>
      </c>
      <c r="I212" s="34">
        <v>87.5</v>
      </c>
      <c r="J212" s="34">
        <v>127.5</v>
      </c>
    </row>
    <row r="213" spans="2:10" ht="16" outlineLevel="1">
      <c r="B213" s="29" t="s">
        <v>93</v>
      </c>
      <c r="C213" s="33" t="s">
        <v>86</v>
      </c>
      <c r="D213" s="29" t="s">
        <v>90</v>
      </c>
      <c r="E213" s="29" t="s">
        <v>91</v>
      </c>
      <c r="F213" s="29" t="s">
        <v>92</v>
      </c>
      <c r="G213" s="29" t="s">
        <v>6</v>
      </c>
      <c r="H213" s="29" t="s">
        <v>3</v>
      </c>
      <c r="I213" s="34">
        <v>-87.5</v>
      </c>
      <c r="J213" s="34">
        <v>40.0</v>
      </c>
    </row>
    <row r="214" spans="2:10" ht="16" outlineLevel="1">
      <c r="B214" s="29" t="s">
        <v>93</v>
      </c>
      <c r="C214" s="33" t="s">
        <v>86</v>
      </c>
      <c r="D214" s="29" t="s">
        <v>144</v>
      </c>
      <c r="E214" s="29" t="s">
        <v>198</v>
      </c>
      <c r="F214" s="29" t="s">
        <v>153</v>
      </c>
      <c r="G214" s="29" t="s">
        <v>6</v>
      </c>
      <c r="H214" s="29" t="s">
        <v>18</v>
      </c>
      <c r="I214" s="34">
        <v>70.0</v>
      </c>
      <c r="J214" s="34">
        <v>110.0</v>
      </c>
    </row>
    <row r="215" spans="1:9" ht="16">
      <c r="A215" s="40" t="s">
        <v>227</v>
      </c>
      <c r="I215" s="35">
        <f>I207+I208+I209+I210+I211+I212+I213+I214</f>
        <v>110.0</v>
      </c>
    </row>
    <row r="216" spans="1:1" ht="16">
      <c r="A216" s="39" t="s">
        <v>228</v>
      </c>
    </row>
    <row r="217" spans="2:10" ht="16" outlineLevel="1">
      <c r="B217" s="29" t="s">
        <v>228</v>
      </c>
      <c r="C217" s="33" t="s">
        <v>143</v>
      </c>
      <c r="D217" s="29" t="s">
        <v>144</v>
      </c>
      <c r="E217" s="29" t="s">
        <v>146</v>
      </c>
      <c r="F217" s="29" t="s">
        <v>147</v>
      </c>
      <c r="G217" s="29" t="s">
        <v>6</v>
      </c>
      <c r="H217" s="29" t="s">
        <v>18</v>
      </c>
      <c r="I217" s="34">
        <v>10.5</v>
      </c>
      <c r="J217" s="34">
        <v>10.5</v>
      </c>
    </row>
    <row r="218" spans="2:10" ht="16" outlineLevel="1">
      <c r="B218" s="29" t="s">
        <v>228</v>
      </c>
      <c r="C218" s="33" t="s">
        <v>149</v>
      </c>
      <c r="D218" s="29" t="s">
        <v>144</v>
      </c>
      <c r="E218" s="29" t="s">
        <v>150</v>
      </c>
      <c r="F218" s="29" t="s">
        <v>147</v>
      </c>
      <c r="G218" s="29" t="s">
        <v>6</v>
      </c>
      <c r="H218" s="29" t="s">
        <v>18</v>
      </c>
      <c r="I218" s="34">
        <v>22.0</v>
      </c>
      <c r="J218" s="34">
        <v>32.5</v>
      </c>
    </row>
    <row r="219" spans="2:10" ht="16" outlineLevel="1">
      <c r="B219" s="29" t="s">
        <v>228</v>
      </c>
      <c r="C219" s="33" t="s">
        <v>158</v>
      </c>
      <c r="D219" s="29" t="s">
        <v>144</v>
      </c>
      <c r="E219" s="29" t="s">
        <v>161</v>
      </c>
      <c r="F219" s="29" t="s">
        <v>44</v>
      </c>
      <c r="G219" s="29" t="s">
        <v>6</v>
      </c>
      <c r="H219" s="29" t="s">
        <v>18</v>
      </c>
      <c r="I219" s="34">
        <v>6.0</v>
      </c>
      <c r="J219" s="34">
        <v>38.5</v>
      </c>
    </row>
    <row r="220" spans="2:10" ht="16" outlineLevel="1">
      <c r="B220" s="29" t="s">
        <v>228</v>
      </c>
      <c r="C220" s="33" t="s">
        <v>28</v>
      </c>
      <c r="D220" s="29" t="s">
        <v>29</v>
      </c>
      <c r="E220" s="29" t="s">
        <v>6</v>
      </c>
      <c r="F220" s="29" t="s">
        <v>6</v>
      </c>
      <c r="G220" s="29" t="s">
        <v>30</v>
      </c>
      <c r="H220" s="29" t="s">
        <v>6</v>
      </c>
      <c r="I220" s="34">
        <v>-38.5</v>
      </c>
      <c r="J220" s="34">
        <v>0</v>
      </c>
    </row>
    <row r="221" spans="2:10" ht="16" outlineLevel="1">
      <c r="B221" s="29" t="s">
        <v>228</v>
      </c>
      <c r="C221" s="33" t="s">
        <v>164</v>
      </c>
      <c r="D221" s="29" t="s">
        <v>144</v>
      </c>
      <c r="E221" s="29" t="s">
        <v>165</v>
      </c>
      <c r="F221" s="29" t="s">
        <v>44</v>
      </c>
      <c r="G221" s="29" t="s">
        <v>6</v>
      </c>
      <c r="H221" s="29" t="s">
        <v>18</v>
      </c>
      <c r="I221" s="34">
        <v>6.4</v>
      </c>
      <c r="J221" s="34">
        <v>6.4</v>
      </c>
    </row>
    <row r="222" spans="2:10" ht="16" outlineLevel="1">
      <c r="B222" s="29" t="s">
        <v>228</v>
      </c>
      <c r="C222" s="33" t="s">
        <v>169</v>
      </c>
      <c r="D222" s="29" t="s">
        <v>144</v>
      </c>
      <c r="E222" s="29" t="s">
        <v>170</v>
      </c>
      <c r="F222" s="29" t="s">
        <v>50</v>
      </c>
      <c r="G222" s="29" t="s">
        <v>6</v>
      </c>
      <c r="H222" s="29" t="s">
        <v>18</v>
      </c>
      <c r="I222" s="34">
        <v>34.0</v>
      </c>
      <c r="J222" s="34">
        <v>40.4</v>
      </c>
    </row>
    <row r="223" spans="2:10" ht="16" outlineLevel="1">
      <c r="B223" s="29" t="s">
        <v>228</v>
      </c>
      <c r="C223" s="33" t="s">
        <v>169</v>
      </c>
      <c r="D223" s="29" t="s">
        <v>144</v>
      </c>
      <c r="E223" s="29" t="s">
        <v>171</v>
      </c>
      <c r="F223" s="29" t="s">
        <v>172</v>
      </c>
      <c r="G223" s="29" t="s">
        <v>6</v>
      </c>
      <c r="H223" s="29" t="s">
        <v>18</v>
      </c>
      <c r="I223" s="34">
        <v>6.0</v>
      </c>
      <c r="J223" s="34">
        <v>46.4</v>
      </c>
    </row>
    <row r="224" spans="2:10" ht="16" outlineLevel="1">
      <c r="B224" s="29" t="s">
        <v>228</v>
      </c>
      <c r="C224" s="33" t="s">
        <v>181</v>
      </c>
      <c r="D224" s="29" t="s">
        <v>144</v>
      </c>
      <c r="E224" s="29" t="s">
        <v>182</v>
      </c>
      <c r="F224" s="29" t="s">
        <v>70</v>
      </c>
      <c r="G224" s="29" t="s">
        <v>6</v>
      </c>
      <c r="H224" s="29" t="s">
        <v>18</v>
      </c>
      <c r="I224" s="34">
        <v>175.52</v>
      </c>
      <c r="J224" s="34">
        <v>221.92000000000002</v>
      </c>
    </row>
    <row r="225" spans="2:10" ht="16" outlineLevel="1">
      <c r="B225" s="29" t="s">
        <v>228</v>
      </c>
      <c r="C225" s="33" t="s">
        <v>181</v>
      </c>
      <c r="D225" s="29" t="s">
        <v>144</v>
      </c>
      <c r="E225" s="29" t="s">
        <v>183</v>
      </c>
      <c r="F225" s="29" t="s">
        <v>89</v>
      </c>
      <c r="G225" s="29" t="s">
        <v>6</v>
      </c>
      <c r="H225" s="29" t="s">
        <v>18</v>
      </c>
      <c r="I225" s="34">
        <v>6.0</v>
      </c>
      <c r="J225" s="34">
        <v>227.92000000000002</v>
      </c>
    </row>
    <row r="226" spans="2:10" ht="16" outlineLevel="1">
      <c r="B226" s="29" t="s">
        <v>228</v>
      </c>
      <c r="C226" s="33" t="s">
        <v>57</v>
      </c>
      <c r="D226" s="29" t="s">
        <v>144</v>
      </c>
      <c r="E226" s="29" t="s">
        <v>184</v>
      </c>
      <c r="F226" s="29" t="s">
        <v>44</v>
      </c>
      <c r="G226" s="29" t="s">
        <v>6</v>
      </c>
      <c r="H226" s="29" t="s">
        <v>18</v>
      </c>
      <c r="I226" s="34">
        <v>4.0</v>
      </c>
      <c r="J226" s="34">
        <v>231.92000000000002</v>
      </c>
    </row>
    <row r="227" spans="2:10" ht="16" outlineLevel="1">
      <c r="B227" s="29" t="s">
        <v>228</v>
      </c>
      <c r="C227" s="33" t="s">
        <v>83</v>
      </c>
      <c r="D227" s="29" t="s">
        <v>144</v>
      </c>
      <c r="E227" s="29" t="s">
        <v>186</v>
      </c>
      <c r="F227" s="29" t="s">
        <v>50</v>
      </c>
      <c r="G227" s="29" t="s">
        <v>187</v>
      </c>
      <c r="H227" s="29" t="s">
        <v>18</v>
      </c>
      <c r="I227" s="34">
        <v>8.0</v>
      </c>
      <c r="J227" s="34">
        <v>239.92000000000002</v>
      </c>
    </row>
    <row r="228" spans="2:10" ht="16" outlineLevel="1">
      <c r="B228" s="29" t="s">
        <v>228</v>
      </c>
      <c r="C228" s="33" t="s">
        <v>83</v>
      </c>
      <c r="D228" s="29" t="s">
        <v>144</v>
      </c>
      <c r="E228" s="29" t="s">
        <v>190</v>
      </c>
      <c r="F228" s="29" t="s">
        <v>89</v>
      </c>
      <c r="G228" s="29" t="s">
        <v>6</v>
      </c>
      <c r="H228" s="29" t="s">
        <v>18</v>
      </c>
      <c r="I228" s="34">
        <v>30.72</v>
      </c>
      <c r="J228" s="34">
        <v>270.64</v>
      </c>
    </row>
    <row r="229" spans="2:10" ht="16" outlineLevel="1">
      <c r="B229" s="29" t="s">
        <v>228</v>
      </c>
      <c r="C229" s="33" t="s">
        <v>95</v>
      </c>
      <c r="D229" s="29" t="s">
        <v>144</v>
      </c>
      <c r="E229" s="29" t="s">
        <v>199</v>
      </c>
      <c r="F229" s="29" t="s">
        <v>200</v>
      </c>
      <c r="G229" s="29" t="s">
        <v>6</v>
      </c>
      <c r="H229" s="29" t="s">
        <v>18</v>
      </c>
      <c r="I229" s="34">
        <v>46.6</v>
      </c>
      <c r="J229" s="34">
        <v>317.24</v>
      </c>
    </row>
    <row r="230" spans="2:10" ht="16" outlineLevel="1">
      <c r="B230" s="29" t="s">
        <v>228</v>
      </c>
      <c r="C230" s="33" t="s">
        <v>95</v>
      </c>
      <c r="D230" s="29" t="s">
        <v>144</v>
      </c>
      <c r="E230" s="29" t="s">
        <v>201</v>
      </c>
      <c r="F230" s="29" t="s">
        <v>202</v>
      </c>
      <c r="G230" s="29" t="s">
        <v>6</v>
      </c>
      <c r="H230" s="29" t="s">
        <v>18</v>
      </c>
      <c r="I230" s="34">
        <v>3.6</v>
      </c>
      <c r="J230" s="34">
        <v>320.84000000000003</v>
      </c>
    </row>
    <row r="231" spans="2:10" ht="16" outlineLevel="1">
      <c r="B231" s="29" t="s">
        <v>228</v>
      </c>
      <c r="C231" s="33" t="s">
        <v>101</v>
      </c>
      <c r="D231" s="29" t="s">
        <v>144</v>
      </c>
      <c r="E231" s="29" t="s">
        <v>203</v>
      </c>
      <c r="F231" s="29" t="s">
        <v>204</v>
      </c>
      <c r="G231" s="29" t="s">
        <v>6</v>
      </c>
      <c r="H231" s="29" t="s">
        <v>18</v>
      </c>
      <c r="I231" s="34">
        <v>23.28</v>
      </c>
      <c r="J231" s="34">
        <v>344.12</v>
      </c>
    </row>
    <row r="232" spans="2:10" ht="16" outlineLevel="1">
      <c r="B232" s="29" t="s">
        <v>228</v>
      </c>
      <c r="C232" s="33" t="s">
        <v>101</v>
      </c>
      <c r="D232" s="29" t="s">
        <v>144</v>
      </c>
      <c r="E232" s="29" t="s">
        <v>206</v>
      </c>
      <c r="F232" s="29" t="s">
        <v>207</v>
      </c>
      <c r="G232" s="29" t="s">
        <v>6</v>
      </c>
      <c r="H232" s="29" t="s">
        <v>18</v>
      </c>
      <c r="I232" s="34">
        <v>26.82</v>
      </c>
      <c r="J232" s="34">
        <v>370.94</v>
      </c>
    </row>
    <row r="233" spans="1:9" ht="16">
      <c r="A233" s="40" t="s">
        <v>229</v>
      </c>
      <c r="I233" s="35">
        <f>I217+I218+I219+I220+I221+I222+I223+I224+I225+I226+I227+I228+I229+I230+I231+I232</f>
        <v>370.94</v>
      </c>
    </row>
    <row r="234" spans="1:1" ht="16">
      <c r="A234" s="39" t="s">
        <v>148</v>
      </c>
    </row>
    <row r="235" spans="2:10" ht="16" outlineLevel="1">
      <c r="B235" s="29" t="s">
        <v>148</v>
      </c>
      <c r="C235" s="33" t="s">
        <v>14</v>
      </c>
      <c r="D235" s="29" t="s">
        <v>15</v>
      </c>
      <c r="E235" s="29" t="s">
        <v>6</v>
      </c>
      <c r="F235" s="29" t="s">
        <v>147</v>
      </c>
      <c r="G235" s="29" t="s">
        <v>6</v>
      </c>
      <c r="H235" s="29" t="s">
        <v>18</v>
      </c>
      <c r="I235" s="34">
        <v>226.75</v>
      </c>
      <c r="J235" s="34">
        <v>226.75</v>
      </c>
    </row>
    <row r="236" spans="2:10" ht="16" outlineLevel="1">
      <c r="B236" s="29" t="s">
        <v>148</v>
      </c>
      <c r="C236" s="33" t="s">
        <v>166</v>
      </c>
      <c r="D236" s="29" t="s">
        <v>15</v>
      </c>
      <c r="E236" s="29" t="s">
        <v>6</v>
      </c>
      <c r="F236" s="29" t="s">
        <v>163</v>
      </c>
      <c r="G236" s="29" t="s">
        <v>6</v>
      </c>
      <c r="H236" s="29" t="s">
        <v>18</v>
      </c>
      <c r="I236" s="34">
        <v>460.4</v>
      </c>
      <c r="J236" s="34">
        <v>687.15</v>
      </c>
    </row>
    <row r="237" spans="2:10" ht="16" outlineLevel="1">
      <c r="B237" s="29" t="s">
        <v>148</v>
      </c>
      <c r="C237" s="33" t="s">
        <v>82</v>
      </c>
      <c r="D237" s="29" t="s">
        <v>45</v>
      </c>
      <c r="E237" s="29" t="s">
        <v>209</v>
      </c>
      <c r="F237" s="29" t="s">
        <v>210</v>
      </c>
      <c r="G237" s="29" t="s">
        <v>6</v>
      </c>
      <c r="H237" s="29" t="s">
        <v>157</v>
      </c>
      <c r="I237" s="34">
        <v>140.0</v>
      </c>
      <c r="J237" s="34">
        <v>827.15</v>
      </c>
    </row>
    <row r="238" spans="2:10" ht="16" outlineLevel="1">
      <c r="B238" s="29" t="s">
        <v>148</v>
      </c>
      <c r="C238" s="33" t="s">
        <v>82</v>
      </c>
      <c r="D238" s="29" t="s">
        <v>15</v>
      </c>
      <c r="E238" s="29" t="s">
        <v>6</v>
      </c>
      <c r="F238" s="29" t="s">
        <v>178</v>
      </c>
      <c r="G238" s="29" t="s">
        <v>6</v>
      </c>
      <c r="H238" s="29" t="s">
        <v>18</v>
      </c>
      <c r="I238" s="34">
        <v>80.0</v>
      </c>
      <c r="J238" s="34">
        <v>907.15</v>
      </c>
    </row>
    <row r="239" spans="2:10" ht="16" outlineLevel="1">
      <c r="B239" s="29" t="s">
        <v>148</v>
      </c>
      <c r="C239" s="33" t="s">
        <v>86</v>
      </c>
      <c r="D239" s="29" t="s">
        <v>15</v>
      </c>
      <c r="E239" s="29" t="s">
        <v>191</v>
      </c>
      <c r="F239" s="29" t="s">
        <v>50</v>
      </c>
      <c r="G239" s="29" t="s">
        <v>6</v>
      </c>
      <c r="H239" s="29" t="s">
        <v>18</v>
      </c>
      <c r="I239" s="34">
        <v>108.0</v>
      </c>
      <c r="J239" s="34">
        <v>1015.15</v>
      </c>
    </row>
    <row r="240" spans="2:10" ht="16" outlineLevel="1">
      <c r="B240" s="29" t="s">
        <v>148</v>
      </c>
      <c r="C240" s="33" t="s">
        <v>86</v>
      </c>
      <c r="D240" s="29" t="s">
        <v>15</v>
      </c>
      <c r="E240" s="29" t="s">
        <v>192</v>
      </c>
      <c r="F240" s="29" t="s">
        <v>168</v>
      </c>
      <c r="G240" s="29" t="s">
        <v>6</v>
      </c>
      <c r="H240" s="29" t="s">
        <v>18</v>
      </c>
      <c r="I240" s="34">
        <v>300.0</v>
      </c>
      <c r="J240" s="34">
        <v>1315.15</v>
      </c>
    </row>
    <row r="241" spans="2:10" ht="16" outlineLevel="1">
      <c r="B241" s="29" t="s">
        <v>148</v>
      </c>
      <c r="C241" s="33" t="s">
        <v>86</v>
      </c>
      <c r="D241" s="29" t="s">
        <v>45</v>
      </c>
      <c r="E241" s="29" t="s">
        <v>226</v>
      </c>
      <c r="F241" s="29" t="s">
        <v>92</v>
      </c>
      <c r="G241" s="29" t="s">
        <v>6</v>
      </c>
      <c r="H241" s="29" t="s">
        <v>6</v>
      </c>
      <c r="I241" s="34">
        <v>78.75</v>
      </c>
      <c r="J241" s="34">
        <v>1393.9</v>
      </c>
    </row>
    <row r="242" spans="2:10" ht="16" outlineLevel="1">
      <c r="B242" s="29" t="s">
        <v>148</v>
      </c>
      <c r="C242" s="33" t="s">
        <v>86</v>
      </c>
      <c r="D242" s="29" t="s">
        <v>5</v>
      </c>
      <c r="E242" s="29" t="s">
        <v>6</v>
      </c>
      <c r="F242" s="29" t="s">
        <v>6</v>
      </c>
      <c r="G242" s="29" t="s">
        <v>6</v>
      </c>
      <c r="H242" s="29" t="s">
        <v>3</v>
      </c>
      <c r="I242" s="34">
        <v>-140.0</v>
      </c>
      <c r="J242" s="34">
        <v>1253.9</v>
      </c>
    </row>
    <row r="243" spans="2:10" ht="16" outlineLevel="1">
      <c r="B243" s="29" t="s">
        <v>148</v>
      </c>
      <c r="C243" s="33" t="s">
        <v>86</v>
      </c>
      <c r="D243" s="29" t="s">
        <v>5</v>
      </c>
      <c r="E243" s="29" t="s">
        <v>6</v>
      </c>
      <c r="F243" s="29" t="s">
        <v>6</v>
      </c>
      <c r="G243" s="29" t="s">
        <v>6</v>
      </c>
      <c r="H243" s="29" t="s">
        <v>3</v>
      </c>
      <c r="I243" s="34">
        <v>-78.75</v>
      </c>
      <c r="J243" s="34">
        <v>1175.15</v>
      </c>
    </row>
    <row r="244" spans="2:10" ht="16" outlineLevel="1">
      <c r="B244" s="29" t="s">
        <v>148</v>
      </c>
      <c r="C244" s="33" t="s">
        <v>95</v>
      </c>
      <c r="D244" s="29" t="s">
        <v>15</v>
      </c>
      <c r="E244" s="29" t="s">
        <v>6</v>
      </c>
      <c r="F244" s="29" t="s">
        <v>89</v>
      </c>
      <c r="G244" s="29" t="s">
        <v>6</v>
      </c>
      <c r="H244" s="29" t="s">
        <v>18</v>
      </c>
      <c r="I244" s="34">
        <v>81.0</v>
      </c>
      <c r="J244" s="34">
        <v>1256.15</v>
      </c>
    </row>
    <row r="245" spans="2:10" ht="16" outlineLevel="1">
      <c r="B245" s="29" t="s">
        <v>148</v>
      </c>
      <c r="C245" s="33" t="s">
        <v>95</v>
      </c>
      <c r="D245" s="29" t="s">
        <v>15</v>
      </c>
      <c r="E245" s="29" t="s">
        <v>6</v>
      </c>
      <c r="F245" s="29" t="s">
        <v>50</v>
      </c>
      <c r="G245" s="29" t="s">
        <v>6</v>
      </c>
      <c r="H245" s="29" t="s">
        <v>18</v>
      </c>
      <c r="I245" s="34">
        <v>220.0</v>
      </c>
      <c r="J245" s="34">
        <v>1476.15</v>
      </c>
    </row>
    <row r="246" spans="2:10" ht="16" outlineLevel="1">
      <c r="B246" s="29" t="s">
        <v>148</v>
      </c>
      <c r="C246" s="33" t="s">
        <v>95</v>
      </c>
      <c r="D246" s="29" t="s">
        <v>5</v>
      </c>
      <c r="E246" s="29" t="s">
        <v>6</v>
      </c>
      <c r="F246" s="29" t="s">
        <v>6</v>
      </c>
      <c r="G246" s="29" t="s">
        <v>6</v>
      </c>
      <c r="H246" s="29" t="s">
        <v>3</v>
      </c>
      <c r="I246" s="34">
        <v>-108.0</v>
      </c>
      <c r="J246" s="34">
        <v>1368.15</v>
      </c>
    </row>
    <row r="247" spans="2:10" ht="16" outlineLevel="1">
      <c r="B247" s="29" t="s">
        <v>148</v>
      </c>
      <c r="C247" s="33" t="s">
        <v>95</v>
      </c>
      <c r="D247" s="29" t="s">
        <v>5</v>
      </c>
      <c r="E247" s="29" t="s">
        <v>6</v>
      </c>
      <c r="F247" s="29" t="s">
        <v>6</v>
      </c>
      <c r="G247" s="29" t="s">
        <v>6</v>
      </c>
      <c r="H247" s="29" t="s">
        <v>3</v>
      </c>
      <c r="I247" s="34">
        <v>-300.0</v>
      </c>
      <c r="J247" s="34">
        <v>1068.15</v>
      </c>
    </row>
    <row r="248" spans="2:10" ht="16" outlineLevel="1">
      <c r="B248" s="29" t="s">
        <v>148</v>
      </c>
      <c r="C248" s="33" t="s">
        <v>101</v>
      </c>
      <c r="D248" s="29" t="s">
        <v>15</v>
      </c>
      <c r="E248" s="29" t="s">
        <v>6</v>
      </c>
      <c r="F248" s="29" t="s">
        <v>70</v>
      </c>
      <c r="G248" s="29" t="s">
        <v>6</v>
      </c>
      <c r="H248" s="29" t="s">
        <v>18</v>
      </c>
      <c r="I248" s="34">
        <v>1675.52</v>
      </c>
      <c r="J248" s="34">
        <v>2743.67</v>
      </c>
    </row>
    <row r="249" spans="2:10" ht="16" outlineLevel="1">
      <c r="B249" s="29" t="s">
        <v>148</v>
      </c>
      <c r="C249" s="33" t="s">
        <v>101</v>
      </c>
      <c r="D249" s="29" t="s">
        <v>5</v>
      </c>
      <c r="E249" s="29" t="s">
        <v>6</v>
      </c>
      <c r="F249" s="29" t="s">
        <v>6</v>
      </c>
      <c r="G249" s="29" t="s">
        <v>6</v>
      </c>
      <c r="H249" s="29" t="s">
        <v>3</v>
      </c>
      <c r="I249" s="34">
        <v>-226.75</v>
      </c>
      <c r="J249" s="34">
        <v>2516.92</v>
      </c>
    </row>
    <row r="250" spans="2:10" ht="16" outlineLevel="1">
      <c r="B250" s="29" t="s">
        <v>148</v>
      </c>
      <c r="C250" s="33" t="s">
        <v>101</v>
      </c>
      <c r="D250" s="29" t="s">
        <v>5</v>
      </c>
      <c r="E250" s="29" t="s">
        <v>6</v>
      </c>
      <c r="F250" s="29" t="s">
        <v>6</v>
      </c>
      <c r="G250" s="29" t="s">
        <v>6</v>
      </c>
      <c r="H250" s="29" t="s">
        <v>3</v>
      </c>
      <c r="I250" s="34">
        <v>-460.4</v>
      </c>
      <c r="J250" s="34">
        <v>2056.52</v>
      </c>
    </row>
    <row r="251" spans="2:10" ht="16" outlineLevel="1">
      <c r="B251" s="29" t="s">
        <v>148</v>
      </c>
      <c r="C251" s="33" t="s">
        <v>101</v>
      </c>
      <c r="D251" s="29" t="s">
        <v>5</v>
      </c>
      <c r="E251" s="29" t="s">
        <v>6</v>
      </c>
      <c r="F251" s="29" t="s">
        <v>6</v>
      </c>
      <c r="G251" s="29" t="s">
        <v>6</v>
      </c>
      <c r="H251" s="29" t="s">
        <v>3</v>
      </c>
      <c r="I251" s="34">
        <v>-80.0</v>
      </c>
      <c r="J251" s="34">
        <v>1976.52</v>
      </c>
    </row>
    <row r="252" spans="2:10" ht="16" outlineLevel="1">
      <c r="B252" s="29" t="s">
        <v>148</v>
      </c>
      <c r="C252" s="33" t="s">
        <v>101</v>
      </c>
      <c r="D252" s="29" t="s">
        <v>5</v>
      </c>
      <c r="E252" s="29" t="s">
        <v>6</v>
      </c>
      <c r="F252" s="29" t="s">
        <v>6</v>
      </c>
      <c r="G252" s="29" t="s">
        <v>6</v>
      </c>
      <c r="H252" s="29" t="s">
        <v>3</v>
      </c>
      <c r="I252" s="34">
        <v>-81.0</v>
      </c>
      <c r="J252" s="34">
        <v>1895.52</v>
      </c>
    </row>
    <row r="253" spans="2:10" ht="16" outlineLevel="1">
      <c r="B253" s="29" t="s">
        <v>148</v>
      </c>
      <c r="C253" s="33" t="s">
        <v>101</v>
      </c>
      <c r="D253" s="29" t="s">
        <v>5</v>
      </c>
      <c r="E253" s="29" t="s">
        <v>6</v>
      </c>
      <c r="F253" s="29" t="s">
        <v>6</v>
      </c>
      <c r="G253" s="29" t="s">
        <v>6</v>
      </c>
      <c r="H253" s="29" t="s">
        <v>3</v>
      </c>
      <c r="I253" s="34">
        <v>-220.0</v>
      </c>
      <c r="J253" s="34">
        <v>1675.52</v>
      </c>
    </row>
    <row r="254" spans="2:10" ht="16" outlineLevel="1">
      <c r="B254" s="29" t="s">
        <v>148</v>
      </c>
      <c r="C254" s="33" t="s">
        <v>101</v>
      </c>
      <c r="D254" s="29" t="s">
        <v>15</v>
      </c>
      <c r="E254" s="29" t="s">
        <v>6</v>
      </c>
      <c r="F254" s="29" t="s">
        <v>147</v>
      </c>
      <c r="G254" s="29" t="s">
        <v>6</v>
      </c>
      <c r="H254" s="29" t="s">
        <v>18</v>
      </c>
      <c r="I254" s="34">
        <v>387.0</v>
      </c>
      <c r="J254" s="34">
        <v>2062.52</v>
      </c>
    </row>
    <row r="255" spans="1:9" ht="16">
      <c r="A255" s="40" t="s">
        <v>230</v>
      </c>
      <c r="I255" s="35">
        <f>I235+I236+I237+I238+I239+I240+I241+I242+I243+I244+I245+I246+I247+I248+I249+I250+I251+I252+I253+I254</f>
        <v>2062.52</v>
      </c>
    </row>
    <row r="256" spans="1:1" ht="16">
      <c r="A256" s="39" t="s">
        <v>110</v>
      </c>
    </row>
    <row r="257" spans="2:10" ht="16" outlineLevel="1">
      <c r="B257" s="29" t="s">
        <v>110</v>
      </c>
      <c r="C257" s="33" t="s">
        <v>231</v>
      </c>
      <c r="D257" s="29" t="s">
        <v>20</v>
      </c>
      <c r="E257" s="29" t="s">
        <v>87</v>
      </c>
      <c r="F257" s="29" t="s">
        <v>33</v>
      </c>
      <c r="G257" s="29" t="s">
        <v>6</v>
      </c>
      <c r="H257" s="29" t="s">
        <v>34</v>
      </c>
      <c r="I257" s="34">
        <v>158.08</v>
      </c>
      <c r="J257" s="34">
        <v>158.08</v>
      </c>
    </row>
    <row r="258" spans="2:10" ht="16" outlineLevel="1">
      <c r="B258" s="29" t="s">
        <v>110</v>
      </c>
      <c r="C258" s="33" t="s">
        <v>134</v>
      </c>
      <c r="D258" s="29" t="s">
        <v>20</v>
      </c>
      <c r="E258" s="29" t="s">
        <v>84</v>
      </c>
      <c r="F258" s="29" t="s">
        <v>26</v>
      </c>
      <c r="G258" s="29" t="s">
        <v>6</v>
      </c>
      <c r="H258" s="29" t="s">
        <v>27</v>
      </c>
      <c r="I258" s="34">
        <v>65.0</v>
      </c>
      <c r="J258" s="34">
        <v>223.08</v>
      </c>
    </row>
    <row r="259" spans="2:10" ht="16" outlineLevel="1">
      <c r="B259" s="29" t="s">
        <v>110</v>
      </c>
      <c r="C259" s="33" t="s">
        <v>181</v>
      </c>
      <c r="D259" s="29" t="s">
        <v>20</v>
      </c>
      <c r="E259" s="29" t="s">
        <v>84</v>
      </c>
      <c r="F259" s="29" t="s">
        <v>54</v>
      </c>
      <c r="G259" s="29" t="s">
        <v>6</v>
      </c>
      <c r="H259" s="29" t="s">
        <v>138</v>
      </c>
      <c r="I259" s="34">
        <v>88.09</v>
      </c>
      <c r="J259" s="34">
        <v>311.17</v>
      </c>
    </row>
    <row r="260" spans="2:10" ht="16" outlineLevel="1">
      <c r="B260" s="29" t="s">
        <v>110</v>
      </c>
      <c r="C260" s="33" t="s">
        <v>213</v>
      </c>
      <c r="D260" s="29" t="s">
        <v>20</v>
      </c>
      <c r="E260" s="29" t="s">
        <v>214</v>
      </c>
      <c r="F260" s="29" t="s">
        <v>33</v>
      </c>
      <c r="G260" s="29" t="s">
        <v>6</v>
      </c>
      <c r="H260" s="29" t="s">
        <v>34</v>
      </c>
      <c r="I260" s="34">
        <v>54.92</v>
      </c>
      <c r="J260" s="34">
        <v>366.09000000000003</v>
      </c>
    </row>
    <row r="261" spans="2:10" ht="16" outlineLevel="1">
      <c r="B261" s="29" t="s">
        <v>110</v>
      </c>
      <c r="C261" s="33" t="s">
        <v>73</v>
      </c>
      <c r="D261" s="29" t="s">
        <v>20</v>
      </c>
      <c r="E261" s="29" t="s">
        <v>232</v>
      </c>
      <c r="F261" s="29" t="s">
        <v>33</v>
      </c>
      <c r="G261" s="29" t="s">
        <v>6</v>
      </c>
      <c r="H261" s="29" t="s">
        <v>34</v>
      </c>
      <c r="I261" s="34">
        <v>82.45</v>
      </c>
      <c r="J261" s="34">
        <v>448.54</v>
      </c>
    </row>
    <row r="262" spans="2:10" ht="16" outlineLevel="1">
      <c r="B262" s="29" t="s">
        <v>110</v>
      </c>
      <c r="C262" s="33" t="s">
        <v>86</v>
      </c>
      <c r="D262" s="29" t="s">
        <v>141</v>
      </c>
      <c r="E262" s="29" t="s">
        <v>84</v>
      </c>
      <c r="F262" s="29" t="s">
        <v>127</v>
      </c>
      <c r="G262" s="29" t="s">
        <v>6</v>
      </c>
      <c r="H262" s="29" t="s">
        <v>13</v>
      </c>
      <c r="I262" s="34">
        <v>74.36</v>
      </c>
      <c r="J262" s="34">
        <v>522.9</v>
      </c>
    </row>
    <row r="263" spans="2:10" ht="16" outlineLevel="1">
      <c r="B263" s="29" t="s">
        <v>110</v>
      </c>
      <c r="C263" s="33" t="s">
        <v>86</v>
      </c>
      <c r="D263" s="29" t="s">
        <v>20</v>
      </c>
      <c r="E263" s="29" t="s">
        <v>84</v>
      </c>
      <c r="F263" s="29" t="s">
        <v>233</v>
      </c>
      <c r="G263" s="29" t="s">
        <v>6</v>
      </c>
      <c r="H263" s="29" t="s">
        <v>234</v>
      </c>
      <c r="I263" s="34">
        <v>112.0</v>
      </c>
      <c r="J263" s="34">
        <v>634.9</v>
      </c>
    </row>
    <row r="264" spans="2:10" ht="16" outlineLevel="1">
      <c r="B264" s="29" t="s">
        <v>110</v>
      </c>
      <c r="C264" s="33" t="s">
        <v>86</v>
      </c>
      <c r="D264" s="29" t="s">
        <v>20</v>
      </c>
      <c r="E264" s="29" t="s">
        <v>6</v>
      </c>
      <c r="F264" s="29" t="s">
        <v>235</v>
      </c>
      <c r="G264" s="29" t="s">
        <v>6</v>
      </c>
      <c r="H264" s="29" t="s">
        <v>236</v>
      </c>
      <c r="I264" s="34">
        <v>74.86</v>
      </c>
      <c r="J264" s="34">
        <v>709.76</v>
      </c>
    </row>
    <row r="265" spans="2:10" ht="16" outlineLevel="1">
      <c r="B265" s="29" t="s">
        <v>110</v>
      </c>
      <c r="C265" s="33" t="s">
        <v>101</v>
      </c>
      <c r="D265" s="29" t="s">
        <v>141</v>
      </c>
      <c r="E265" s="29" t="s">
        <v>84</v>
      </c>
      <c r="F265" s="29" t="s">
        <v>127</v>
      </c>
      <c r="G265" s="29" t="s">
        <v>6</v>
      </c>
      <c r="H265" s="29" t="s">
        <v>13</v>
      </c>
      <c r="I265" s="34">
        <v>56.5</v>
      </c>
      <c r="J265" s="34">
        <v>766.26</v>
      </c>
    </row>
    <row r="266" spans="2:10" ht="16" outlineLevel="1">
      <c r="B266" s="29" t="s">
        <v>110</v>
      </c>
      <c r="C266" s="33" t="s">
        <v>101</v>
      </c>
      <c r="D266" s="29" t="s">
        <v>141</v>
      </c>
      <c r="E266" s="29" t="s">
        <v>84</v>
      </c>
      <c r="F266" s="29" t="s">
        <v>137</v>
      </c>
      <c r="G266" s="29" t="s">
        <v>6</v>
      </c>
      <c r="H266" s="29" t="s">
        <v>13</v>
      </c>
      <c r="I266" s="34">
        <v>103.55</v>
      </c>
      <c r="J266" s="34">
        <v>869.81</v>
      </c>
    </row>
    <row r="267" spans="2:10" ht="16" outlineLevel="1">
      <c r="B267" s="29" t="s">
        <v>110</v>
      </c>
      <c r="C267" s="33" t="s">
        <v>101</v>
      </c>
      <c r="D267" s="29" t="s">
        <v>20</v>
      </c>
      <c r="E267" s="29" t="s">
        <v>84</v>
      </c>
      <c r="F267" s="29" t="s">
        <v>26</v>
      </c>
      <c r="G267" s="29" t="s">
        <v>6</v>
      </c>
      <c r="H267" s="29" t="s">
        <v>27</v>
      </c>
      <c r="I267" s="34">
        <v>52.56</v>
      </c>
      <c r="J267" s="34">
        <v>922.3699999999999</v>
      </c>
    </row>
    <row r="268" spans="2:10" ht="16" outlineLevel="1">
      <c r="B268" s="29" t="s">
        <v>110</v>
      </c>
      <c r="C268" s="33" t="s">
        <v>237</v>
      </c>
      <c r="D268" s="29" t="s">
        <v>238</v>
      </c>
      <c r="E268" s="29" t="s">
        <v>6</v>
      </c>
      <c r="F268" s="29" t="s">
        <v>61</v>
      </c>
      <c r="G268" s="29" t="s">
        <v>239</v>
      </c>
      <c r="H268" s="29" t="s">
        <v>62</v>
      </c>
      <c r="I268" s="34">
        <v>18.97</v>
      </c>
      <c r="J268" s="34">
        <v>941.3399999999999</v>
      </c>
    </row>
    <row r="269" spans="2:10" ht="16" outlineLevel="1">
      <c r="B269" s="29" t="s">
        <v>110</v>
      </c>
      <c r="C269" s="33" t="s">
        <v>237</v>
      </c>
      <c r="D269" s="29" t="s">
        <v>238</v>
      </c>
      <c r="E269" s="29" t="s">
        <v>6</v>
      </c>
      <c r="F269" s="29" t="s">
        <v>63</v>
      </c>
      <c r="G269" s="29" t="s">
        <v>6</v>
      </c>
      <c r="H269" s="29" t="s">
        <v>64</v>
      </c>
      <c r="I269" s="34">
        <v>19.99</v>
      </c>
      <c r="J269" s="34">
        <v>961.3299999999999</v>
      </c>
    </row>
    <row r="270" spans="2:10" ht="16" outlineLevel="1">
      <c r="B270" s="29" t="s">
        <v>110</v>
      </c>
      <c r="C270" s="33" t="s">
        <v>240</v>
      </c>
      <c r="D270" s="29" t="s">
        <v>238</v>
      </c>
      <c r="E270" s="29" t="s">
        <v>6</v>
      </c>
      <c r="F270" s="29" t="s">
        <v>54</v>
      </c>
      <c r="G270" s="29" t="s">
        <v>6</v>
      </c>
      <c r="H270" s="29" t="s">
        <v>138</v>
      </c>
      <c r="I270" s="34">
        <v>42.4</v>
      </c>
      <c r="J270" s="34">
        <v>1003.7299999999999</v>
      </c>
    </row>
    <row r="271" spans="2:10" ht="16" outlineLevel="1">
      <c r="B271" s="29" t="s">
        <v>110</v>
      </c>
      <c r="C271" s="33" t="s">
        <v>241</v>
      </c>
      <c r="D271" s="29" t="s">
        <v>238</v>
      </c>
      <c r="E271" s="29" t="s">
        <v>6</v>
      </c>
      <c r="F271" s="29" t="s">
        <v>63</v>
      </c>
      <c r="G271" s="29" t="s">
        <v>6</v>
      </c>
      <c r="H271" s="29" t="s">
        <v>64</v>
      </c>
      <c r="I271" s="34">
        <v>19.99</v>
      </c>
      <c r="J271" s="34">
        <v>1023.7199999999999</v>
      </c>
    </row>
    <row r="272" spans="2:10" ht="16" outlineLevel="1">
      <c r="B272" s="29" t="s">
        <v>110</v>
      </c>
      <c r="C272" s="33" t="s">
        <v>107</v>
      </c>
      <c r="D272" s="29" t="s">
        <v>108</v>
      </c>
      <c r="E272" s="29" t="s">
        <v>6</v>
      </c>
      <c r="F272" s="29" t="s">
        <v>6</v>
      </c>
      <c r="G272" s="29" t="s">
        <v>109</v>
      </c>
      <c r="H272" s="29" t="s">
        <v>3</v>
      </c>
      <c r="I272" s="34">
        <v>-900.0</v>
      </c>
      <c r="J272" s="34">
        <v>123.71999999999991</v>
      </c>
    </row>
    <row r="273" spans="2:10" ht="16" outlineLevel="1">
      <c r="B273" s="29" t="s">
        <v>110</v>
      </c>
      <c r="C273" s="33" t="s">
        <v>242</v>
      </c>
      <c r="D273" s="29" t="s">
        <v>238</v>
      </c>
      <c r="E273" s="29" t="s">
        <v>6</v>
      </c>
      <c r="F273" s="29" t="s">
        <v>6</v>
      </c>
      <c r="G273" s="29" t="s">
        <v>6</v>
      </c>
      <c r="H273" s="29" t="s">
        <v>64</v>
      </c>
      <c r="I273" s="34">
        <v>34.0</v>
      </c>
      <c r="J273" s="34">
        <v>157.7199999999999</v>
      </c>
    </row>
    <row r="274" spans="1:9" ht="16">
      <c r="A274" s="40" t="s">
        <v>243</v>
      </c>
      <c r="I274" s="35">
        <f>I257+I258+I259+I260+I261+I262+I263+I264+I265+I266+I267+I268+I269+I270+I271+I272+I273</f>
        <v>157.7199999999999</v>
      </c>
    </row>
    <row r="275" spans="1:1" ht="16">
      <c r="A275" s="39" t="s">
        <v>244</v>
      </c>
    </row>
    <row r="276" spans="2:10" ht="16" outlineLevel="1">
      <c r="B276" s="29" t="s">
        <v>244</v>
      </c>
      <c r="C276" s="33" t="s">
        <v>158</v>
      </c>
      <c r="D276" s="29" t="s">
        <v>144</v>
      </c>
      <c r="E276" s="29" t="s">
        <v>162</v>
      </c>
      <c r="F276" s="29" t="s">
        <v>163</v>
      </c>
      <c r="G276" s="29" t="s">
        <v>6</v>
      </c>
      <c r="H276" s="29" t="s">
        <v>18</v>
      </c>
      <c r="I276" s="34">
        <v>29.96</v>
      </c>
      <c r="J276" s="34">
        <v>29.96</v>
      </c>
    </row>
    <row r="277" spans="2:10" ht="16" outlineLevel="1">
      <c r="B277" s="29" t="s">
        <v>244</v>
      </c>
      <c r="C277" s="33" t="s">
        <v>158</v>
      </c>
      <c r="D277" s="29" t="s">
        <v>144</v>
      </c>
      <c r="E277" s="29" t="s">
        <v>162</v>
      </c>
      <c r="F277" s="29" t="s">
        <v>163</v>
      </c>
      <c r="G277" s="29" t="s">
        <v>6</v>
      </c>
      <c r="H277" s="29" t="s">
        <v>18</v>
      </c>
      <c r="I277" s="34">
        <v>8.44</v>
      </c>
      <c r="J277" s="34">
        <v>38.4</v>
      </c>
    </row>
    <row r="278" spans="2:10" ht="16" outlineLevel="1">
      <c r="B278" s="29" t="s">
        <v>244</v>
      </c>
      <c r="C278" s="33" t="s">
        <v>28</v>
      </c>
      <c r="D278" s="29" t="s">
        <v>29</v>
      </c>
      <c r="E278" s="29" t="s">
        <v>6</v>
      </c>
      <c r="F278" s="29" t="s">
        <v>6</v>
      </c>
      <c r="G278" s="29" t="s">
        <v>30</v>
      </c>
      <c r="H278" s="29" t="s">
        <v>6</v>
      </c>
      <c r="I278" s="34">
        <v>-38.4</v>
      </c>
      <c r="J278" s="34">
        <v>0</v>
      </c>
    </row>
    <row r="279" spans="1:9" ht="16">
      <c r="A279" s="40" t="s">
        <v>245</v>
      </c>
      <c r="I279" s="35">
        <f>I276+I277+I278</f>
        <v>0.0</v>
      </c>
    </row>
    <row r="280" spans="1:1" ht="16">
      <c r="A280" s="39" t="s">
        <v>132</v>
      </c>
    </row>
    <row r="281" spans="2:10" ht="16" outlineLevel="1">
      <c r="B281" s="29" t="s">
        <v>132</v>
      </c>
      <c r="C281" s="33" t="s">
        <v>131</v>
      </c>
      <c r="D281" s="29" t="s">
        <v>124</v>
      </c>
      <c r="E281" s="29" t="s">
        <v>6</v>
      </c>
      <c r="F281" s="29" t="s">
        <v>54</v>
      </c>
      <c r="G281" s="29" t="s">
        <v>7</v>
      </c>
      <c r="H281" s="29" t="s">
        <v>13</v>
      </c>
      <c r="I281" s="34">
        <v>250.0</v>
      </c>
      <c r="J281" s="34">
        <v>250.0</v>
      </c>
    </row>
    <row r="282" spans="2:10" ht="16" outlineLevel="1">
      <c r="B282" s="29" t="s">
        <v>132</v>
      </c>
      <c r="C282" s="33" t="s">
        <v>134</v>
      </c>
      <c r="D282" s="29" t="s">
        <v>124</v>
      </c>
      <c r="E282" s="29" t="s">
        <v>6</v>
      </c>
      <c r="F282" s="29" t="s">
        <v>99</v>
      </c>
      <c r="G282" s="29" t="s">
        <v>7</v>
      </c>
      <c r="H282" s="29" t="s">
        <v>13</v>
      </c>
      <c r="I282" s="34">
        <v>666.0</v>
      </c>
      <c r="J282" s="34">
        <v>916.0</v>
      </c>
    </row>
    <row r="283" spans="2:10" ht="16" outlineLevel="1">
      <c r="B283" s="29" t="s">
        <v>132</v>
      </c>
      <c r="C283" s="33" t="s">
        <v>68</v>
      </c>
      <c r="D283" s="29" t="s">
        <v>124</v>
      </c>
      <c r="E283" s="29" t="s">
        <v>6</v>
      </c>
      <c r="F283" s="29" t="s">
        <v>85</v>
      </c>
      <c r="G283" s="29" t="s">
        <v>7</v>
      </c>
      <c r="H283" s="29" t="s">
        <v>13</v>
      </c>
      <c r="I283" s="34">
        <v>2000.0</v>
      </c>
      <c r="J283" s="34">
        <v>2916.0</v>
      </c>
    </row>
    <row r="284" spans="1:9" ht="16">
      <c r="A284" s="40" t="s">
        <v>246</v>
      </c>
      <c r="I284" s="35">
        <f>I281+I282+I283</f>
        <v>2916.0</v>
      </c>
    </row>
    <row r="285" spans="1:1" ht="16">
      <c r="A285" s="39" t="s">
        <v>41</v>
      </c>
    </row>
    <row r="286" spans="2:10" ht="16" outlineLevel="1">
      <c r="B286" s="29" t="s">
        <v>41</v>
      </c>
      <c r="C286" s="33" t="s">
        <v>39</v>
      </c>
      <c r="D286" s="29" t="s">
        <v>20</v>
      </c>
      <c r="E286" s="29" t="s">
        <v>40</v>
      </c>
      <c r="F286" s="29" t="s">
        <v>33</v>
      </c>
      <c r="G286" s="29" t="s">
        <v>6</v>
      </c>
      <c r="H286" s="29" t="s">
        <v>3</v>
      </c>
      <c r="I286" s="34">
        <v>108.09</v>
      </c>
      <c r="J286" s="34">
        <v>108.09</v>
      </c>
    </row>
    <row r="287" spans="2:10" ht="16" outlineLevel="1">
      <c r="B287" s="29" t="s">
        <v>41</v>
      </c>
      <c r="C287" s="33" t="s">
        <v>95</v>
      </c>
      <c r="D287" s="29" t="s">
        <v>20</v>
      </c>
      <c r="E287" s="29" t="s">
        <v>100</v>
      </c>
      <c r="F287" s="29" t="s">
        <v>33</v>
      </c>
      <c r="G287" s="29" t="s">
        <v>6</v>
      </c>
      <c r="H287" s="29" t="s">
        <v>3</v>
      </c>
      <c r="I287" s="34">
        <v>46.98</v>
      </c>
      <c r="J287" s="34">
        <v>155.07</v>
      </c>
    </row>
    <row r="288" spans="1:9" ht="16" outlineLevel="1">
      <c r="A288" s="40" t="s">
        <v>247</v>
      </c>
      <c r="I288" s="35">
        <f>I286+I287</f>
        <v>155.07</v>
      </c>
    </row>
    <row r="289" spans="1:1" ht="16" outlineLevel="1">
      <c r="A289" s="41" t="s">
        <v>212</v>
      </c>
    </row>
    <row r="290" spans="1:1" ht="16" outlineLevel="2">
      <c r="A290" s="42" t="s">
        <v>34</v>
      </c>
    </row>
    <row r="291" spans="2:10" ht="16" outlineLevel="3">
      <c r="B291" s="29" t="s">
        <v>34</v>
      </c>
      <c r="C291" s="33" t="s">
        <v>231</v>
      </c>
      <c r="D291" s="29" t="s">
        <v>20</v>
      </c>
      <c r="E291" s="29" t="s">
        <v>87</v>
      </c>
      <c r="F291" s="29" t="s">
        <v>33</v>
      </c>
      <c r="G291" s="29" t="s">
        <v>6</v>
      </c>
      <c r="H291" s="29" t="s">
        <v>110</v>
      </c>
      <c r="I291" s="34">
        <v>158.08</v>
      </c>
      <c r="J291" s="34">
        <v>158.08</v>
      </c>
    </row>
    <row r="292" spans="2:10" ht="16" outlineLevel="3">
      <c r="B292" s="29" t="s">
        <v>34</v>
      </c>
      <c r="C292" s="33" t="s">
        <v>31</v>
      </c>
      <c r="D292" s="29" t="s">
        <v>20</v>
      </c>
      <c r="E292" s="29" t="s">
        <v>32</v>
      </c>
      <c r="F292" s="29" t="s">
        <v>33</v>
      </c>
      <c r="G292" s="29" t="s">
        <v>6</v>
      </c>
      <c r="H292" s="29" t="s">
        <v>3</v>
      </c>
      <c r="I292" s="34">
        <v>89.09</v>
      </c>
      <c r="J292" s="34">
        <v>247.17000000000002</v>
      </c>
    </row>
    <row r="293" spans="2:10" ht="16" outlineLevel="3">
      <c r="B293" s="29" t="s">
        <v>34</v>
      </c>
      <c r="C293" s="33" t="s">
        <v>73</v>
      </c>
      <c r="D293" s="29" t="s">
        <v>20</v>
      </c>
      <c r="E293" s="29" t="s">
        <v>232</v>
      </c>
      <c r="F293" s="29" t="s">
        <v>33</v>
      </c>
      <c r="G293" s="29" t="s">
        <v>6</v>
      </c>
      <c r="H293" s="29" t="s">
        <v>110</v>
      </c>
      <c r="I293" s="34">
        <v>82.45</v>
      </c>
      <c r="J293" s="34">
        <v>329.62</v>
      </c>
    </row>
    <row r="294" spans="2:10" ht="16" outlineLevel="3">
      <c r="B294" s="29" t="s">
        <v>34</v>
      </c>
      <c r="C294" s="33" t="s">
        <v>106</v>
      </c>
      <c r="D294" s="29" t="s">
        <v>60</v>
      </c>
      <c r="E294" s="29" t="s">
        <v>6</v>
      </c>
      <c r="F294" s="29" t="s">
        <v>33</v>
      </c>
      <c r="G294" s="29" t="s">
        <v>6</v>
      </c>
      <c r="H294" s="29" t="s">
        <v>3</v>
      </c>
      <c r="I294" s="34">
        <v>23.5</v>
      </c>
      <c r="J294" s="34">
        <v>353.12</v>
      </c>
    </row>
    <row r="295" spans="1:9" ht="16" outlineLevel="2">
      <c r="A295" s="43" t="s">
        <v>215</v>
      </c>
      <c r="I295" s="35">
        <f>I290+I291+I292+I293+I294</f>
        <v>353.12</v>
      </c>
    </row>
    <row r="296" spans="1:1" ht="16" outlineLevel="2">
      <c r="A296" s="42" t="s">
        <v>138</v>
      </c>
    </row>
    <row r="297" spans="2:10" ht="16" outlineLevel="3">
      <c r="B297" s="29" t="s">
        <v>138</v>
      </c>
      <c r="C297" s="33" t="s">
        <v>181</v>
      </c>
      <c r="D297" s="29" t="s">
        <v>20</v>
      </c>
      <c r="E297" s="29" t="s">
        <v>84</v>
      </c>
      <c r="F297" s="29" t="s">
        <v>54</v>
      </c>
      <c r="G297" s="29" t="s">
        <v>6</v>
      </c>
      <c r="H297" s="29" t="s">
        <v>110</v>
      </c>
      <c r="I297" s="34">
        <v>88.09</v>
      </c>
      <c r="J297" s="34">
        <v>88.09</v>
      </c>
    </row>
    <row r="298" spans="2:10" ht="16" outlineLevel="3">
      <c r="B298" s="29" t="s">
        <v>138</v>
      </c>
      <c r="C298" s="33" t="s">
        <v>83</v>
      </c>
      <c r="D298" s="29" t="s">
        <v>124</v>
      </c>
      <c r="E298" s="29" t="s">
        <v>6</v>
      </c>
      <c r="F298" s="29" t="s">
        <v>137</v>
      </c>
      <c r="G298" s="29" t="s">
        <v>6</v>
      </c>
      <c r="H298" s="29" t="s">
        <v>13</v>
      </c>
      <c r="I298" s="34">
        <v>103.55</v>
      </c>
      <c r="J298" s="34">
        <v>191.64</v>
      </c>
    </row>
    <row r="299" spans="2:10" ht="16" outlineLevel="3">
      <c r="B299" s="29" t="s">
        <v>138</v>
      </c>
      <c r="C299" s="33" t="s">
        <v>240</v>
      </c>
      <c r="D299" s="29" t="s">
        <v>238</v>
      </c>
      <c r="E299" s="29" t="s">
        <v>6</v>
      </c>
      <c r="F299" s="29" t="s">
        <v>54</v>
      </c>
      <c r="G299" s="29" t="s">
        <v>6</v>
      </c>
      <c r="H299" s="29" t="s">
        <v>110</v>
      </c>
      <c r="I299" s="34">
        <v>42.4</v>
      </c>
      <c r="J299" s="34">
        <v>234.04</v>
      </c>
    </row>
    <row r="300" spans="1:9" ht="16" outlineLevel="2">
      <c r="A300" s="43" t="s">
        <v>248</v>
      </c>
      <c r="I300" s="35">
        <f>I296+I297+I298+I299</f>
        <v>234.04</v>
      </c>
    </row>
    <row r="301" spans="1:1" ht="16" outlineLevel="2">
      <c r="A301" s="42" t="s">
        <v>78</v>
      </c>
    </row>
    <row r="302" spans="2:10" ht="16" outlineLevel="3">
      <c r="B302" s="29" t="s">
        <v>78</v>
      </c>
      <c r="C302" s="33" t="s">
        <v>73</v>
      </c>
      <c r="D302" s="29" t="s">
        <v>20</v>
      </c>
      <c r="E302" s="29" t="s">
        <v>77</v>
      </c>
      <c r="F302" s="29" t="s">
        <v>54</v>
      </c>
      <c r="G302" s="29" t="s">
        <v>6</v>
      </c>
      <c r="H302" s="29" t="s">
        <v>3</v>
      </c>
      <c r="I302" s="34">
        <v>215.66</v>
      </c>
      <c r="J302" s="34">
        <v>215.66</v>
      </c>
    </row>
    <row r="303" spans="1:9" ht="16" outlineLevel="2">
      <c r="A303" s="43" t="s">
        <v>218</v>
      </c>
      <c r="I303" s="35">
        <f>I301+I302</f>
        <v>215.66</v>
      </c>
    </row>
    <row r="304" spans="1:9" ht="16" outlineLevel="1">
      <c r="A304" s="44" t="s">
        <v>219</v>
      </c>
      <c r="I304" s="35">
        <f>I289+I295+I300+I303</f>
        <v>802.8199999999999</v>
      </c>
    </row>
    <row r="305" spans="1:9" ht="16">
      <c r="A305" s="40" t="s">
        <v>249</v>
      </c>
      <c r="I305" s="35">
        <v>957.89</v>
      </c>
    </row>
    <row r="306" spans="1:1" ht="16">
      <c r="A306" s="39" t="s">
        <v>48</v>
      </c>
    </row>
    <row r="307" spans="2:10" ht="16" outlineLevel="1">
      <c r="B307" s="29" t="s">
        <v>48</v>
      </c>
      <c r="C307" s="33" t="s">
        <v>42</v>
      </c>
      <c r="D307" s="29" t="s">
        <v>144</v>
      </c>
      <c r="E307" s="29" t="s">
        <v>167</v>
      </c>
      <c r="F307" s="29" t="s">
        <v>168</v>
      </c>
      <c r="G307" s="29" t="s">
        <v>6</v>
      </c>
      <c r="H307" s="29" t="s">
        <v>18</v>
      </c>
      <c r="I307" s="34">
        <v>750.0</v>
      </c>
      <c r="J307" s="34">
        <v>750.0</v>
      </c>
    </row>
    <row r="308" spans="2:10" ht="16" outlineLevel="1">
      <c r="B308" s="29" t="s">
        <v>48</v>
      </c>
      <c r="C308" s="33" t="s">
        <v>42</v>
      </c>
      <c r="D308" s="29" t="s">
        <v>45</v>
      </c>
      <c r="E308" s="29" t="s">
        <v>46</v>
      </c>
      <c r="F308" s="29" t="s">
        <v>47</v>
      </c>
      <c r="G308" s="29" t="s">
        <v>6</v>
      </c>
      <c r="H308" s="29" t="s">
        <v>3</v>
      </c>
      <c r="I308" s="34">
        <v>225.0</v>
      </c>
      <c r="J308" s="34">
        <v>975.0</v>
      </c>
    </row>
    <row r="309" spans="2:10" ht="16" outlineLevel="1">
      <c r="B309" s="29" t="s">
        <v>48</v>
      </c>
      <c r="C309" s="33" t="s">
        <v>79</v>
      </c>
      <c r="D309" s="29" t="s">
        <v>45</v>
      </c>
      <c r="E309" s="29" t="s">
        <v>80</v>
      </c>
      <c r="F309" s="29" t="s">
        <v>81</v>
      </c>
      <c r="G309" s="29" t="s">
        <v>6</v>
      </c>
      <c r="H309" s="29" t="s">
        <v>3</v>
      </c>
      <c r="I309" s="34">
        <v>337.5</v>
      </c>
      <c r="J309" s="34">
        <v>1312.5</v>
      </c>
    </row>
    <row r="310" spans="2:10" ht="16" outlineLevel="1">
      <c r="B310" s="29" t="s">
        <v>48</v>
      </c>
      <c r="C310" s="33" t="s">
        <v>86</v>
      </c>
      <c r="D310" s="29" t="s">
        <v>144</v>
      </c>
      <c r="E310" s="29" t="s">
        <v>193</v>
      </c>
      <c r="F310" s="29" t="s">
        <v>194</v>
      </c>
      <c r="G310" s="29" t="s">
        <v>6</v>
      </c>
      <c r="H310" s="29" t="s">
        <v>18</v>
      </c>
      <c r="I310" s="34">
        <v>375.0</v>
      </c>
      <c r="J310" s="34">
        <v>1687.5</v>
      </c>
    </row>
    <row r="311" spans="2:10" ht="16" outlineLevel="1">
      <c r="B311" s="29" t="s">
        <v>48</v>
      </c>
      <c r="C311" s="33" t="s">
        <v>86</v>
      </c>
      <c r="D311" s="29" t="s">
        <v>144</v>
      </c>
      <c r="E311" s="29" t="s">
        <v>195</v>
      </c>
      <c r="F311" s="29" t="s">
        <v>196</v>
      </c>
      <c r="G311" s="29" t="s">
        <v>6</v>
      </c>
      <c r="H311" s="29" t="s">
        <v>18</v>
      </c>
      <c r="I311" s="34">
        <v>300.0</v>
      </c>
      <c r="J311" s="34">
        <v>1987.5</v>
      </c>
    </row>
    <row r="312" spans="2:10" ht="16" outlineLevel="1">
      <c r="B312" s="29" t="s">
        <v>48</v>
      </c>
      <c r="C312" s="33" t="s">
        <v>95</v>
      </c>
      <c r="D312" s="29" t="s">
        <v>144</v>
      </c>
      <c r="E312" s="29" t="s">
        <v>199</v>
      </c>
      <c r="F312" s="29" t="s">
        <v>200</v>
      </c>
      <c r="G312" s="29" t="s">
        <v>6</v>
      </c>
      <c r="H312" s="29" t="s">
        <v>18</v>
      </c>
      <c r="I312" s="34">
        <v>262.5</v>
      </c>
      <c r="J312" s="34">
        <v>2250.0</v>
      </c>
    </row>
    <row r="313" spans="1:9" ht="16">
      <c r="A313" s="40" t="s">
        <v>250</v>
      </c>
      <c r="I313" s="35">
        <f>I307+I308+I309+I310+I311+I312</f>
        <v>2250.0</v>
      </c>
    </row>
    <row r="314" spans="1:1" ht="16">
      <c r="A314" s="39" t="s">
        <v>133</v>
      </c>
    </row>
    <row r="315" spans="2:10" ht="16" outlineLevel="1">
      <c r="B315" s="29" t="s">
        <v>133</v>
      </c>
      <c r="C315" s="33" t="s">
        <v>112</v>
      </c>
      <c r="D315" s="29" t="s">
        <v>124</v>
      </c>
      <c r="E315" s="29" t="s">
        <v>6</v>
      </c>
      <c r="F315" s="29" t="s">
        <v>72</v>
      </c>
      <c r="G315" s="29" t="s">
        <v>6</v>
      </c>
      <c r="H315" s="29" t="s">
        <v>13</v>
      </c>
      <c r="I315" s="34">
        <v>900.0</v>
      </c>
      <c r="J315" s="34">
        <v>900.0</v>
      </c>
    </row>
    <row r="316" spans="1:9" ht="16">
      <c r="A316" s="40" t="s">
        <v>251</v>
      </c>
      <c r="I316" s="35">
        <f>I315</f>
        <v>900.0</v>
      </c>
    </row>
    <row r="317" spans="1:1" ht="16">
      <c r="A317" s="39" t="s">
        <v>252</v>
      </c>
    </row>
    <row r="318" spans="2:10" ht="16" outlineLevel="1">
      <c r="B318" s="29" t="s">
        <v>252</v>
      </c>
      <c r="C318" s="33" t="s">
        <v>135</v>
      </c>
      <c r="D318" s="29" t="s">
        <v>144</v>
      </c>
      <c r="E318" s="29" t="s">
        <v>179</v>
      </c>
      <c r="F318" s="29" t="s">
        <v>180</v>
      </c>
      <c r="G318" s="29" t="s">
        <v>6</v>
      </c>
      <c r="H318" s="29" t="s">
        <v>18</v>
      </c>
      <c r="I318" s="34">
        <v>-30.5</v>
      </c>
      <c r="J318" s="34">
        <v>-30.5</v>
      </c>
    </row>
    <row r="319" spans="2:10" ht="16" outlineLevel="1">
      <c r="B319" s="29" t="s">
        <v>252</v>
      </c>
      <c r="C319" s="33" t="s">
        <v>86</v>
      </c>
      <c r="D319" s="29" t="s">
        <v>45</v>
      </c>
      <c r="E319" s="29" t="s">
        <v>226</v>
      </c>
      <c r="F319" s="29" t="s">
        <v>92</v>
      </c>
      <c r="G319" s="29" t="s">
        <v>6</v>
      </c>
      <c r="H319" s="29" t="s">
        <v>148</v>
      </c>
      <c r="I319" s="34">
        <v>-8.75</v>
      </c>
      <c r="J319" s="34">
        <v>-39.25</v>
      </c>
    </row>
    <row r="320" spans="2:10" ht="16" outlineLevel="1">
      <c r="B320" s="29" t="s">
        <v>252</v>
      </c>
      <c r="C320" s="33" t="s">
        <v>86</v>
      </c>
      <c r="D320" s="29" t="s">
        <v>144</v>
      </c>
      <c r="E320" s="29" t="s">
        <v>195</v>
      </c>
      <c r="F320" s="29" t="s">
        <v>196</v>
      </c>
      <c r="G320" s="29" t="s">
        <v>6</v>
      </c>
      <c r="H320" s="29" t="s">
        <v>18</v>
      </c>
      <c r="I320" s="34">
        <v>-50.25</v>
      </c>
      <c r="J320" s="34">
        <v>-89.5</v>
      </c>
    </row>
    <row r="321" spans="1:9" ht="16">
      <c r="A321" s="40" t="s">
        <v>253</v>
      </c>
      <c r="I321" s="35">
        <f>I318+I319+I320</f>
        <v>-89.5</v>
      </c>
    </row>
    <row r="322" spans="1:1" ht="16">
      <c r="A322" s="39" t="s">
        <v>254</v>
      </c>
    </row>
    <row r="323" spans="2:10" ht="16" outlineLevel="1">
      <c r="B323" s="29" t="s">
        <v>254</v>
      </c>
      <c r="C323" s="33" t="s">
        <v>181</v>
      </c>
      <c r="D323" s="29" t="s">
        <v>144</v>
      </c>
      <c r="E323" s="29" t="s">
        <v>182</v>
      </c>
      <c r="F323" s="29" t="s">
        <v>70</v>
      </c>
      <c r="G323" s="29" t="s">
        <v>6</v>
      </c>
      <c r="H323" s="29" t="s">
        <v>18</v>
      </c>
      <c r="I323" s="34">
        <v>20.0</v>
      </c>
      <c r="J323" s="34">
        <v>20.0</v>
      </c>
    </row>
    <row r="324" spans="2:10" ht="16" outlineLevel="1">
      <c r="B324" s="29" t="s">
        <v>254</v>
      </c>
      <c r="C324" s="33" t="s">
        <v>181</v>
      </c>
      <c r="D324" s="29" t="s">
        <v>144</v>
      </c>
      <c r="E324" s="29" t="s">
        <v>182</v>
      </c>
      <c r="F324" s="29" t="s">
        <v>70</v>
      </c>
      <c r="G324" s="29" t="s">
        <v>6</v>
      </c>
      <c r="H324" s="29" t="s">
        <v>18</v>
      </c>
      <c r="I324" s="34">
        <v>24.0</v>
      </c>
      <c r="J324" s="34">
        <v>44.0</v>
      </c>
    </row>
    <row r="325" spans="2:10" ht="16" outlineLevel="1">
      <c r="B325" s="29" t="s">
        <v>254</v>
      </c>
      <c r="C325" s="33" t="s">
        <v>101</v>
      </c>
      <c r="D325" s="29" t="s">
        <v>144</v>
      </c>
      <c r="E325" s="29" t="s">
        <v>203</v>
      </c>
      <c r="F325" s="29" t="s">
        <v>204</v>
      </c>
      <c r="G325" s="29" t="s">
        <v>6</v>
      </c>
      <c r="H325" s="29" t="s">
        <v>18</v>
      </c>
      <c r="I325" s="34">
        <v>275.0</v>
      </c>
      <c r="J325" s="34">
        <v>319.0</v>
      </c>
    </row>
    <row r="326" spans="2:10" ht="16" outlineLevel="1">
      <c r="B326" s="29" t="s">
        <v>254</v>
      </c>
      <c r="C326" s="33" t="s">
        <v>101</v>
      </c>
      <c r="D326" s="29" t="s">
        <v>144</v>
      </c>
      <c r="E326" s="29" t="s">
        <v>203</v>
      </c>
      <c r="F326" s="29" t="s">
        <v>204</v>
      </c>
      <c r="G326" s="29" t="s">
        <v>6</v>
      </c>
      <c r="H326" s="29" t="s">
        <v>18</v>
      </c>
      <c r="I326" s="34">
        <v>16.0</v>
      </c>
      <c r="J326" s="34">
        <v>335.0</v>
      </c>
    </row>
    <row r="327" spans="2:10" ht="16" outlineLevel="1">
      <c r="B327" s="29" t="s">
        <v>254</v>
      </c>
      <c r="C327" s="33" t="s">
        <v>101</v>
      </c>
      <c r="D327" s="29" t="s">
        <v>144</v>
      </c>
      <c r="E327" s="29" t="s">
        <v>205</v>
      </c>
      <c r="F327" s="29" t="s">
        <v>147</v>
      </c>
      <c r="G327" s="29" t="s">
        <v>6</v>
      </c>
      <c r="H327" s="29" t="s">
        <v>18</v>
      </c>
      <c r="I327" s="34">
        <v>275.0</v>
      </c>
      <c r="J327" s="34">
        <v>610.0</v>
      </c>
    </row>
    <row r="328" spans="2:10" ht="16" outlineLevel="1">
      <c r="B328" s="29" t="s">
        <v>254</v>
      </c>
      <c r="C328" s="33" t="s">
        <v>101</v>
      </c>
      <c r="D328" s="29" t="s">
        <v>144</v>
      </c>
      <c r="E328" s="29" t="s">
        <v>205</v>
      </c>
      <c r="F328" s="29" t="s">
        <v>147</v>
      </c>
      <c r="G328" s="29" t="s">
        <v>6</v>
      </c>
      <c r="H328" s="29" t="s">
        <v>18</v>
      </c>
      <c r="I328" s="34">
        <v>15.0</v>
      </c>
      <c r="J328" s="34">
        <v>625.0</v>
      </c>
    </row>
    <row r="329" spans="2:10" ht="16" outlineLevel="1">
      <c r="B329" s="29" t="s">
        <v>254</v>
      </c>
      <c r="C329" s="33" t="s">
        <v>101</v>
      </c>
      <c r="D329" s="29" t="s">
        <v>144</v>
      </c>
      <c r="E329" s="29" t="s">
        <v>206</v>
      </c>
      <c r="F329" s="29" t="s">
        <v>207</v>
      </c>
      <c r="G329" s="29" t="s">
        <v>6</v>
      </c>
      <c r="H329" s="29" t="s">
        <v>18</v>
      </c>
      <c r="I329" s="34">
        <v>275.0</v>
      </c>
      <c r="J329" s="34">
        <v>900.0</v>
      </c>
    </row>
    <row r="330" spans="2:10" ht="16" outlineLevel="1">
      <c r="B330" s="29" t="s">
        <v>254</v>
      </c>
      <c r="C330" s="33" t="s">
        <v>101</v>
      </c>
      <c r="D330" s="29" t="s">
        <v>144</v>
      </c>
      <c r="E330" s="29" t="s">
        <v>206</v>
      </c>
      <c r="F330" s="29" t="s">
        <v>207</v>
      </c>
      <c r="G330" s="29" t="s">
        <v>6</v>
      </c>
      <c r="H330" s="29" t="s">
        <v>18</v>
      </c>
      <c r="I330" s="34">
        <v>12.75</v>
      </c>
      <c r="J330" s="34">
        <v>912.75</v>
      </c>
    </row>
    <row r="331" spans="1:9" ht="16">
      <c r="A331" s="40" t="s">
        <v>255</v>
      </c>
      <c r="I331" s="35">
        <f>I323+I324+I325+I326+I327+I328+I329+I330</f>
        <v>912.75</v>
      </c>
    </row>
    <row r="332" spans="1:1" ht="16">
      <c r="A332" s="39" t="s">
        <v>189</v>
      </c>
    </row>
    <row r="333" spans="2:10" ht="16" outlineLevel="1">
      <c r="B333" s="29" t="s">
        <v>189</v>
      </c>
      <c r="C333" s="33" t="s">
        <v>181</v>
      </c>
      <c r="D333" s="29" t="s">
        <v>144</v>
      </c>
      <c r="E333" s="29" t="s">
        <v>182</v>
      </c>
      <c r="F333" s="29" t="s">
        <v>70</v>
      </c>
      <c r="G333" s="29" t="s">
        <v>6</v>
      </c>
      <c r="H333" s="29" t="s">
        <v>18</v>
      </c>
      <c r="I333" s="34">
        <v>400.0</v>
      </c>
      <c r="J333" s="34">
        <v>400.0</v>
      </c>
    </row>
    <row r="334" spans="2:10" ht="16" outlineLevel="1">
      <c r="B334" s="29" t="s">
        <v>189</v>
      </c>
      <c r="C334" s="33" t="s">
        <v>83</v>
      </c>
      <c r="D334" s="29" t="s">
        <v>144</v>
      </c>
      <c r="E334" s="29" t="s">
        <v>188</v>
      </c>
      <c r="F334" s="29" t="s">
        <v>89</v>
      </c>
      <c r="G334" s="29" t="s">
        <v>6</v>
      </c>
      <c r="H334" s="29" t="s">
        <v>18</v>
      </c>
      <c r="I334" s="34">
        <v>103.55</v>
      </c>
      <c r="J334" s="34">
        <v>503.55</v>
      </c>
    </row>
    <row r="335" spans="1:9" ht="16">
      <c r="A335" s="40" t="s">
        <v>256</v>
      </c>
      <c r="I335" s="35">
        <f>I333+I334</f>
        <v>503.55</v>
      </c>
    </row>
    <row r="336" spans="1:1" ht="16">
      <c r="A336" s="39" t="s">
        <v>62</v>
      </c>
    </row>
    <row r="337" spans="2:10" ht="16" outlineLevel="1">
      <c r="B337" s="29" t="s">
        <v>62</v>
      </c>
      <c r="C337" s="33" t="s">
        <v>57</v>
      </c>
      <c r="D337" s="29" t="s">
        <v>60</v>
      </c>
      <c r="E337" s="29" t="s">
        <v>6</v>
      </c>
      <c r="F337" s="29" t="s">
        <v>61</v>
      </c>
      <c r="G337" s="29" t="s">
        <v>6</v>
      </c>
      <c r="H337" s="29" t="s">
        <v>3</v>
      </c>
      <c r="I337" s="34">
        <v>5.66</v>
      </c>
      <c r="J337" s="34">
        <v>5.66</v>
      </c>
    </row>
    <row r="338" spans="2:10" ht="16" outlineLevel="1">
      <c r="B338" s="29" t="s">
        <v>62</v>
      </c>
      <c r="C338" s="33" t="s">
        <v>82</v>
      </c>
      <c r="D338" s="29" t="s">
        <v>60</v>
      </c>
      <c r="E338" s="29" t="s">
        <v>6</v>
      </c>
      <c r="F338" s="29" t="s">
        <v>61</v>
      </c>
      <c r="G338" s="29" t="s">
        <v>6</v>
      </c>
      <c r="H338" s="29" t="s">
        <v>3</v>
      </c>
      <c r="I338" s="34">
        <v>3.86</v>
      </c>
      <c r="J338" s="34">
        <v>9.52</v>
      </c>
    </row>
    <row r="339" spans="2:10" ht="16" outlineLevel="1">
      <c r="B339" s="29" t="s">
        <v>62</v>
      </c>
      <c r="C339" s="33" t="s">
        <v>237</v>
      </c>
      <c r="D339" s="29" t="s">
        <v>238</v>
      </c>
      <c r="E339" s="29" t="s">
        <v>6</v>
      </c>
      <c r="F339" s="29" t="s">
        <v>61</v>
      </c>
      <c r="G339" s="29" t="s">
        <v>239</v>
      </c>
      <c r="H339" s="29" t="s">
        <v>110</v>
      </c>
      <c r="I339" s="34">
        <v>18.97</v>
      </c>
      <c r="J339" s="34">
        <v>28.49</v>
      </c>
    </row>
    <row r="340" spans="1:9" ht="16">
      <c r="A340" s="40" t="s">
        <v>257</v>
      </c>
      <c r="I340" s="35">
        <f>I337+I338+I339</f>
        <v>28.49</v>
      </c>
    </row>
    <row r="341" spans="1:1" ht="16">
      <c r="A341" s="39" t="s">
        <v>64</v>
      </c>
    </row>
    <row r="342" spans="2:10" ht="16" outlineLevel="1">
      <c r="B342" s="29" t="s">
        <v>64</v>
      </c>
      <c r="C342" s="33" t="s">
        <v>57</v>
      </c>
      <c r="D342" s="29" t="s">
        <v>60</v>
      </c>
      <c r="E342" s="29" t="s">
        <v>6</v>
      </c>
      <c r="F342" s="29" t="s">
        <v>63</v>
      </c>
      <c r="G342" s="29" t="s">
        <v>6</v>
      </c>
      <c r="H342" s="29" t="s">
        <v>3</v>
      </c>
      <c r="I342" s="34">
        <v>19.99</v>
      </c>
      <c r="J342" s="34">
        <v>19.99</v>
      </c>
    </row>
    <row r="343" spans="2:10" ht="16" outlineLevel="1">
      <c r="B343" s="29" t="s">
        <v>64</v>
      </c>
      <c r="C343" s="33" t="s">
        <v>86</v>
      </c>
      <c r="D343" s="29" t="s">
        <v>24</v>
      </c>
      <c r="E343" s="29" t="s">
        <v>94</v>
      </c>
      <c r="F343" s="29" t="s">
        <v>63</v>
      </c>
      <c r="G343" s="29" t="s">
        <v>6</v>
      </c>
      <c r="H343" s="29" t="s">
        <v>3</v>
      </c>
      <c r="I343" s="34">
        <v>19.99</v>
      </c>
      <c r="J343" s="34">
        <v>39.98</v>
      </c>
    </row>
    <row r="344" spans="2:10" ht="16" outlineLevel="1">
      <c r="B344" s="29" t="s">
        <v>64</v>
      </c>
      <c r="C344" s="33" t="s">
        <v>237</v>
      </c>
      <c r="D344" s="29" t="s">
        <v>238</v>
      </c>
      <c r="E344" s="29" t="s">
        <v>6</v>
      </c>
      <c r="F344" s="29" t="s">
        <v>63</v>
      </c>
      <c r="G344" s="29" t="s">
        <v>6</v>
      </c>
      <c r="H344" s="29" t="s">
        <v>110</v>
      </c>
      <c r="I344" s="34">
        <v>19.99</v>
      </c>
      <c r="J344" s="34">
        <v>59.97</v>
      </c>
    </row>
    <row r="345" spans="2:10" ht="16" outlineLevel="1">
      <c r="B345" s="29" t="s">
        <v>64</v>
      </c>
      <c r="C345" s="33" t="s">
        <v>241</v>
      </c>
      <c r="D345" s="29" t="s">
        <v>238</v>
      </c>
      <c r="E345" s="29" t="s">
        <v>6</v>
      </c>
      <c r="F345" s="29" t="s">
        <v>63</v>
      </c>
      <c r="G345" s="29" t="s">
        <v>6</v>
      </c>
      <c r="H345" s="29" t="s">
        <v>110</v>
      </c>
      <c r="I345" s="34">
        <v>19.99</v>
      </c>
      <c r="J345" s="34">
        <v>79.96</v>
      </c>
    </row>
    <row r="346" spans="2:10" ht="16" outlineLevel="1">
      <c r="B346" s="29" t="s">
        <v>64</v>
      </c>
      <c r="C346" s="33" t="s">
        <v>242</v>
      </c>
      <c r="D346" s="29" t="s">
        <v>238</v>
      </c>
      <c r="E346" s="29" t="s">
        <v>6</v>
      </c>
      <c r="F346" s="29" t="s">
        <v>6</v>
      </c>
      <c r="G346" s="29" t="s">
        <v>6</v>
      </c>
      <c r="H346" s="29" t="s">
        <v>110</v>
      </c>
      <c r="I346" s="34">
        <v>34.0</v>
      </c>
      <c r="J346" s="34">
        <v>113.96</v>
      </c>
    </row>
    <row r="347" spans="1:9" ht="16" outlineLevel="1">
      <c r="A347" s="40" t="s">
        <v>258</v>
      </c>
      <c r="I347" s="35">
        <f>I342+I343+I344+I345+I346</f>
        <v>113.96</v>
      </c>
    </row>
    <row r="348" spans="1:1" ht="16" outlineLevel="1">
      <c r="A348" s="41" t="s">
        <v>27</v>
      </c>
    </row>
    <row r="349" spans="2:10" ht="16" outlineLevel="2">
      <c r="B349" s="29" t="s">
        <v>27</v>
      </c>
      <c r="C349" s="33" t="s">
        <v>23</v>
      </c>
      <c r="D349" s="29" t="s">
        <v>24</v>
      </c>
      <c r="E349" s="29" t="s">
        <v>25</v>
      </c>
      <c r="F349" s="29" t="s">
        <v>26</v>
      </c>
      <c r="G349" s="29" t="s">
        <v>6</v>
      </c>
      <c r="H349" s="29" t="s">
        <v>3</v>
      </c>
      <c r="I349" s="34">
        <v>54.55</v>
      </c>
      <c r="J349" s="34">
        <v>54.55</v>
      </c>
    </row>
    <row r="350" spans="2:10" ht="16" outlineLevel="2">
      <c r="B350" s="29" t="s">
        <v>27</v>
      </c>
      <c r="C350" s="33" t="s">
        <v>37</v>
      </c>
      <c r="D350" s="29" t="s">
        <v>24</v>
      </c>
      <c r="E350" s="29" t="s">
        <v>38</v>
      </c>
      <c r="F350" s="29" t="s">
        <v>26</v>
      </c>
      <c r="G350" s="29" t="s">
        <v>6</v>
      </c>
      <c r="H350" s="29" t="s">
        <v>3</v>
      </c>
      <c r="I350" s="34">
        <v>62.01</v>
      </c>
      <c r="J350" s="34">
        <v>116.56</v>
      </c>
    </row>
    <row r="351" spans="2:10" ht="16" outlineLevel="2">
      <c r="B351" s="29" t="s">
        <v>27</v>
      </c>
      <c r="C351" s="33" t="s">
        <v>134</v>
      </c>
      <c r="D351" s="29" t="s">
        <v>20</v>
      </c>
      <c r="E351" s="29" t="s">
        <v>84</v>
      </c>
      <c r="F351" s="29" t="s">
        <v>26</v>
      </c>
      <c r="G351" s="29" t="s">
        <v>6</v>
      </c>
      <c r="H351" s="29" t="s">
        <v>110</v>
      </c>
      <c r="I351" s="34">
        <v>65.0</v>
      </c>
      <c r="J351" s="34">
        <v>181.56</v>
      </c>
    </row>
    <row r="352" spans="2:10" ht="16" outlineLevel="2">
      <c r="B352" s="29" t="s">
        <v>27</v>
      </c>
      <c r="C352" s="33" t="s">
        <v>65</v>
      </c>
      <c r="D352" s="29" t="s">
        <v>60</v>
      </c>
      <c r="E352" s="29" t="s">
        <v>6</v>
      </c>
      <c r="F352" s="29" t="s">
        <v>26</v>
      </c>
      <c r="G352" s="29" t="s">
        <v>6</v>
      </c>
      <c r="H352" s="29" t="s">
        <v>3</v>
      </c>
      <c r="I352" s="34">
        <v>52.14</v>
      </c>
      <c r="J352" s="34">
        <v>233.7</v>
      </c>
    </row>
    <row r="353" spans="2:10" ht="16" outlineLevel="2">
      <c r="B353" s="29" t="s">
        <v>27</v>
      </c>
      <c r="C353" s="33" t="s">
        <v>95</v>
      </c>
      <c r="D353" s="29" t="s">
        <v>60</v>
      </c>
      <c r="E353" s="29" t="s">
        <v>6</v>
      </c>
      <c r="F353" s="29" t="s">
        <v>26</v>
      </c>
      <c r="G353" s="29" t="s">
        <v>6</v>
      </c>
      <c r="H353" s="29" t="s">
        <v>3</v>
      </c>
      <c r="I353" s="34">
        <v>63.15</v>
      </c>
      <c r="J353" s="34">
        <v>296.84999999999997</v>
      </c>
    </row>
    <row r="354" spans="2:10" ht="16" outlineLevel="2">
      <c r="B354" s="29" t="s">
        <v>27</v>
      </c>
      <c r="C354" s="33" t="s">
        <v>101</v>
      </c>
      <c r="D354" s="29" t="s">
        <v>20</v>
      </c>
      <c r="E354" s="29" t="s">
        <v>84</v>
      </c>
      <c r="F354" s="29" t="s">
        <v>26</v>
      </c>
      <c r="G354" s="29" t="s">
        <v>6</v>
      </c>
      <c r="H354" s="29" t="s">
        <v>110</v>
      </c>
      <c r="I354" s="34">
        <v>52.56</v>
      </c>
      <c r="J354" s="34">
        <v>349.40999999999997</v>
      </c>
    </row>
    <row r="355" spans="1:9" ht="16" outlineLevel="1">
      <c r="A355" s="44" t="s">
        <v>259</v>
      </c>
      <c r="I355" s="35">
        <f>I348+I349+I350+I351+I352+I353+I354</f>
        <v>349.40999999999997</v>
      </c>
    </row>
    <row r="356" spans="1:9" ht="16">
      <c r="A356" s="40" t="s">
        <v>260</v>
      </c>
      <c r="I356" s="35">
        <v>463.36999999999995</v>
      </c>
    </row>
    <row r="357" spans="1:1" ht="16">
      <c r="A357" s="39" t="s">
        <v>67</v>
      </c>
    </row>
    <row r="358" spans="2:10" ht="16" outlineLevel="1">
      <c r="B358" s="29" t="s">
        <v>67</v>
      </c>
      <c r="C358" s="33" t="s">
        <v>65</v>
      </c>
      <c r="D358" s="29" t="s">
        <v>24</v>
      </c>
      <c r="E358" s="29" t="s">
        <v>66</v>
      </c>
      <c r="F358" s="29" t="s">
        <v>26</v>
      </c>
      <c r="G358" s="29" t="s">
        <v>6</v>
      </c>
      <c r="H358" s="29" t="s">
        <v>3</v>
      </c>
      <c r="I358" s="34">
        <v>185.0</v>
      </c>
      <c r="J358" s="34">
        <v>185.0</v>
      </c>
    </row>
    <row r="359" spans="1:9" ht="16" outlineLevel="1">
      <c r="A359" s="40" t="s">
        <v>221</v>
      </c>
      <c r="I359" s="35">
        <f>I358</f>
        <v>185.0</v>
      </c>
    </row>
    <row r="360" spans="1:1" ht="16" outlineLevel="1">
      <c r="A360" s="41" t="s">
        <v>140</v>
      </c>
    </row>
    <row r="361" spans="2:10" ht="16" outlineLevel="2">
      <c r="B361" s="29" t="s">
        <v>140</v>
      </c>
      <c r="C361" s="33" t="s">
        <v>86</v>
      </c>
      <c r="D361" s="29" t="s">
        <v>124</v>
      </c>
      <c r="E361" s="29" t="s">
        <v>6</v>
      </c>
      <c r="F361" s="29" t="s">
        <v>139</v>
      </c>
      <c r="G361" s="29" t="s">
        <v>6</v>
      </c>
      <c r="H361" s="29" t="s">
        <v>13</v>
      </c>
      <c r="I361" s="34">
        <v>755.0</v>
      </c>
      <c r="J361" s="34">
        <v>755.0</v>
      </c>
    </row>
    <row r="362" spans="1:9" ht="16" outlineLevel="1">
      <c r="A362" s="44" t="s">
        <v>261</v>
      </c>
      <c r="I362" s="35">
        <f>I360+I361</f>
        <v>755.0</v>
      </c>
    </row>
    <row r="363" spans="1:9" ht="16">
      <c r="A363" s="40" t="s">
        <v>262</v>
      </c>
      <c r="I363" s="35">
        <v>940.0</v>
      </c>
    </row>
    <row r="364" spans="1:1" ht="16">
      <c r="A364" s="39" t="s">
        <v>136</v>
      </c>
    </row>
    <row r="365" spans="2:10" ht="16" outlineLevel="1">
      <c r="B365" s="29" t="s">
        <v>136</v>
      </c>
      <c r="C365" s="33" t="s">
        <v>68</v>
      </c>
      <c r="D365" s="29" t="s">
        <v>124</v>
      </c>
      <c r="E365" s="29" t="s">
        <v>6</v>
      </c>
      <c r="F365" s="29" t="s">
        <v>85</v>
      </c>
      <c r="G365" s="29" t="s">
        <v>6</v>
      </c>
      <c r="H365" s="29" t="s">
        <v>13</v>
      </c>
      <c r="I365" s="34">
        <v>241.23</v>
      </c>
      <c r="J365" s="34">
        <v>241.23</v>
      </c>
    </row>
    <row r="366" spans="1:9" ht="16">
      <c r="A366" s="40" t="s">
        <v>263</v>
      </c>
      <c r="I366" s="35">
        <f>I365</f>
        <v>241.23</v>
      </c>
    </row>
    <row r="367" spans="1:1" ht="16">
      <c r="A367" s="39" t="s">
        <v>76</v>
      </c>
    </row>
    <row r="368" spans="2:10" ht="16" outlineLevel="1">
      <c r="B368" s="29" t="s">
        <v>76</v>
      </c>
      <c r="C368" s="33" t="s">
        <v>73</v>
      </c>
      <c r="D368" s="29" t="s">
        <v>24</v>
      </c>
      <c r="E368" s="29" t="s">
        <v>74</v>
      </c>
      <c r="F368" s="29" t="s">
        <v>75</v>
      </c>
      <c r="G368" s="29" t="s">
        <v>6</v>
      </c>
      <c r="H368" s="29" t="s">
        <v>3</v>
      </c>
      <c r="I368" s="34">
        <v>18.08</v>
      </c>
      <c r="J368" s="34">
        <v>18.08</v>
      </c>
    </row>
    <row r="369" spans="1:9" ht="16">
      <c r="A369" s="40" t="s">
        <v>264</v>
      </c>
      <c r="I369" s="35">
        <f>I368</f>
        <v>18.08</v>
      </c>
    </row>
    <row r="370" spans="1:1" ht="16">
      <c r="A370" s="39" t="s">
        <v>114</v>
      </c>
    </row>
    <row r="371" spans="2:10" ht="16" outlineLevel="1">
      <c r="B371" s="29" t="s">
        <v>114</v>
      </c>
      <c r="C371" s="33" t="s">
        <v>82</v>
      </c>
      <c r="D371" s="29" t="s">
        <v>5</v>
      </c>
      <c r="E371" s="29" t="s">
        <v>6</v>
      </c>
      <c r="F371" s="29" t="s">
        <v>6</v>
      </c>
      <c r="G371" s="29" t="s">
        <v>7</v>
      </c>
      <c r="H371" s="29" t="s">
        <v>8</v>
      </c>
      <c r="I371" s="34">
        <v>600.0</v>
      </c>
      <c r="J371" s="34">
        <v>600.0</v>
      </c>
    </row>
    <row r="372" spans="2:10" ht="16" outlineLevel="1">
      <c r="B372" s="29" t="s">
        <v>114</v>
      </c>
      <c r="C372" s="33" t="s">
        <v>101</v>
      </c>
      <c r="D372" s="29" t="s">
        <v>5</v>
      </c>
      <c r="E372" s="29" t="s">
        <v>6</v>
      </c>
      <c r="F372" s="29" t="s">
        <v>6</v>
      </c>
      <c r="G372" s="29" t="s">
        <v>6</v>
      </c>
      <c r="H372" s="29" t="s">
        <v>3</v>
      </c>
      <c r="I372" s="34">
        <v>200.0</v>
      </c>
      <c r="J372" s="34">
        <v>800.0</v>
      </c>
    </row>
    <row r="373" spans="1:9" ht="16">
      <c r="A373" s="40" t="s">
        <v>265</v>
      </c>
      <c r="I373" s="35">
        <f>I371+I372</f>
        <v>800.0</v>
      </c>
    </row>
    <row r="374" spans="1:1" ht="16">
      <c r="A374" s="39" t="s">
        <v>266</v>
      </c>
    </row>
    <row r="375" spans="2:10" ht="16" outlineLevel="1">
      <c r="B375" s="29" t="s">
        <v>266</v>
      </c>
      <c r="C375" s="33" t="s">
        <v>83</v>
      </c>
      <c r="D375" s="29" t="s">
        <v>113</v>
      </c>
      <c r="E375" s="29" t="s">
        <v>6</v>
      </c>
      <c r="F375" s="29" t="s">
        <v>6</v>
      </c>
      <c r="G375" s="29" t="s">
        <v>7</v>
      </c>
      <c r="H375" s="29" t="s">
        <v>6</v>
      </c>
      <c r="I375" s="34">
        <v>4000.0</v>
      </c>
      <c r="J375" s="34">
        <v>4000.0</v>
      </c>
    </row>
    <row r="376" spans="1:9" ht="16">
      <c r="A376" s="40" t="s">
        <v>267</v>
      </c>
      <c r="I376" s="35">
        <f>I375</f>
        <v>4000.0</v>
      </c>
    </row>
    <row r="377" spans="1:1" ht="16">
      <c r="A377" s="39" t="s">
        <v>268</v>
      </c>
    </row>
    <row r="378" spans="2:10" ht="16" outlineLevel="1">
      <c r="B378" s="29" t="s">
        <v>268</v>
      </c>
      <c r="C378" s="33" t="s">
        <v>83</v>
      </c>
      <c r="D378" s="29" t="s">
        <v>113</v>
      </c>
      <c r="E378" s="29" t="s">
        <v>6</v>
      </c>
      <c r="F378" s="29" t="s">
        <v>6</v>
      </c>
      <c r="G378" s="29" t="s">
        <v>7</v>
      </c>
      <c r="H378" s="29" t="s">
        <v>6</v>
      </c>
      <c r="I378" s="34">
        <v>25000.0</v>
      </c>
      <c r="J378" s="34">
        <v>25000.0</v>
      </c>
    </row>
    <row r="379" spans="1:9" ht="16">
      <c r="A379" s="40" t="s">
        <v>269</v>
      </c>
      <c r="I379" s="35">
        <f>I378</f>
        <v>25000.0</v>
      </c>
    </row>
    <row r="380" spans="1:1" ht="16">
      <c r="A380" s="39" t="s">
        <v>234</v>
      </c>
    </row>
    <row r="381" spans="2:10" ht="16" outlineLevel="1">
      <c r="B381" s="29" t="s">
        <v>234</v>
      </c>
      <c r="C381" s="33" t="s">
        <v>86</v>
      </c>
      <c r="D381" s="29" t="s">
        <v>20</v>
      </c>
      <c r="E381" s="29" t="s">
        <v>84</v>
      </c>
      <c r="F381" s="29" t="s">
        <v>233</v>
      </c>
      <c r="G381" s="29" t="s">
        <v>6</v>
      </c>
      <c r="H381" s="29" t="s">
        <v>110</v>
      </c>
      <c r="I381" s="34">
        <v>112.0</v>
      </c>
      <c r="J381" s="34">
        <v>112.0</v>
      </c>
    </row>
    <row r="382" spans="1:9" ht="16">
      <c r="A382" s="40" t="s">
        <v>270</v>
      </c>
      <c r="I382" s="35">
        <f>I381</f>
        <v>112.0</v>
      </c>
    </row>
    <row r="383" spans="1:1" ht="16">
      <c r="A383" s="39" t="s">
        <v>236</v>
      </c>
    </row>
    <row r="384" spans="2:10" ht="16" outlineLevel="1">
      <c r="B384" s="29" t="s">
        <v>236</v>
      </c>
      <c r="C384" s="33" t="s">
        <v>86</v>
      </c>
      <c r="D384" s="29" t="s">
        <v>20</v>
      </c>
      <c r="E384" s="29" t="s">
        <v>6</v>
      </c>
      <c r="F384" s="29" t="s">
        <v>235</v>
      </c>
      <c r="G384" s="29" t="s">
        <v>6</v>
      </c>
      <c r="H384" s="29" t="s">
        <v>110</v>
      </c>
      <c r="I384" s="34">
        <v>74.86</v>
      </c>
      <c r="J384" s="34">
        <v>74.86</v>
      </c>
    </row>
    <row r="385" spans="1:9" ht="16">
      <c r="A385" s="40" t="s">
        <v>271</v>
      </c>
      <c r="I385" s="35">
        <f>I384</f>
        <v>74.86</v>
      </c>
    </row>
    <row r="386" spans="1:1" ht="16">
      <c r="A386" s="39" t="s">
        <v>118</v>
      </c>
    </row>
    <row r="387" spans="2:10" ht="16" outlineLevel="1">
      <c r="B387" s="29" t="s">
        <v>118</v>
      </c>
      <c r="C387" s="33" t="s">
        <v>101</v>
      </c>
      <c r="D387" s="29" t="s">
        <v>115</v>
      </c>
      <c r="E387" s="29" t="s">
        <v>116</v>
      </c>
      <c r="F387" s="29" t="s">
        <v>6</v>
      </c>
      <c r="G387" s="29" t="s">
        <v>117</v>
      </c>
      <c r="H387" s="29" t="s">
        <v>8</v>
      </c>
      <c r="I387" s="29"/>
      <c r="J387" s="34">
        <v>0</v>
      </c>
    </row>
    <row r="388" spans="2:10" ht="16" outlineLevel="1">
      <c r="B388" s="29" t="s">
        <v>118</v>
      </c>
      <c r="C388" s="33" t="s">
        <v>101</v>
      </c>
      <c r="D388" s="29" t="s">
        <v>115</v>
      </c>
      <c r="E388" s="29" t="s">
        <v>116</v>
      </c>
      <c r="F388" s="29" t="s">
        <v>6</v>
      </c>
      <c r="G388" s="29" t="s">
        <v>117</v>
      </c>
      <c r="H388" s="29" t="s">
        <v>8</v>
      </c>
      <c r="I388" s="34">
        <v>160.0</v>
      </c>
      <c r="J388" s="34">
        <v>160.0</v>
      </c>
    </row>
    <row r="389" spans="2:10" ht="16" outlineLevel="1">
      <c r="B389" s="29" t="s">
        <v>118</v>
      </c>
      <c r="C389" s="33" t="s">
        <v>101</v>
      </c>
      <c r="D389" s="29" t="s">
        <v>115</v>
      </c>
      <c r="E389" s="29" t="s">
        <v>116</v>
      </c>
      <c r="F389" s="29" t="s">
        <v>6</v>
      </c>
      <c r="G389" s="29" t="s">
        <v>119</v>
      </c>
      <c r="H389" s="29" t="s">
        <v>8</v>
      </c>
      <c r="I389" s="29"/>
      <c r="J389" s="34">
        <v>160.0</v>
      </c>
    </row>
    <row r="390" spans="2:10" ht="16" outlineLevel="1">
      <c r="B390" s="29" t="s">
        <v>118</v>
      </c>
      <c r="C390" s="33" t="s">
        <v>101</v>
      </c>
      <c r="D390" s="29" t="s">
        <v>115</v>
      </c>
      <c r="E390" s="29" t="s">
        <v>116</v>
      </c>
      <c r="F390" s="29" t="s">
        <v>6</v>
      </c>
      <c r="G390" s="29" t="s">
        <v>119</v>
      </c>
      <c r="H390" s="29" t="s">
        <v>8</v>
      </c>
      <c r="I390" s="34">
        <v>7.5</v>
      </c>
      <c r="J390" s="34">
        <v>167.5</v>
      </c>
    </row>
    <row r="391" spans="2:10" ht="16" outlineLevel="1">
      <c r="B391" s="29" t="s">
        <v>118</v>
      </c>
      <c r="C391" s="33" t="s">
        <v>101</v>
      </c>
      <c r="D391" s="29" t="s">
        <v>115</v>
      </c>
      <c r="E391" s="29" t="s">
        <v>116</v>
      </c>
      <c r="F391" s="29" t="s">
        <v>6</v>
      </c>
      <c r="G391" s="29" t="s">
        <v>120</v>
      </c>
      <c r="H391" s="29" t="s">
        <v>8</v>
      </c>
      <c r="I391" s="29"/>
      <c r="J391" s="34">
        <v>167.5</v>
      </c>
    </row>
    <row r="392" spans="2:10" ht="16" outlineLevel="1">
      <c r="B392" s="29" t="s">
        <v>118</v>
      </c>
      <c r="C392" s="33" t="s">
        <v>101</v>
      </c>
      <c r="D392" s="29" t="s">
        <v>115</v>
      </c>
      <c r="E392" s="29" t="s">
        <v>116</v>
      </c>
      <c r="F392" s="29" t="s">
        <v>6</v>
      </c>
      <c r="G392" s="29" t="s">
        <v>120</v>
      </c>
      <c r="H392" s="29" t="s">
        <v>8</v>
      </c>
      <c r="I392" s="34">
        <v>25.0</v>
      </c>
      <c r="J392" s="34">
        <v>192.5</v>
      </c>
    </row>
    <row r="393" spans="2:10" ht="16" outlineLevel="1">
      <c r="B393" s="29" t="s">
        <v>118</v>
      </c>
      <c r="C393" s="33" t="s">
        <v>101</v>
      </c>
      <c r="D393" s="29" t="s">
        <v>115</v>
      </c>
      <c r="E393" s="29" t="s">
        <v>116</v>
      </c>
      <c r="F393" s="29" t="s">
        <v>6</v>
      </c>
      <c r="G393" s="29" t="s">
        <v>121</v>
      </c>
      <c r="H393" s="29" t="s">
        <v>8</v>
      </c>
      <c r="I393" s="29"/>
      <c r="J393" s="34">
        <v>192.5</v>
      </c>
    </row>
    <row r="394" spans="2:10" ht="16" outlineLevel="1">
      <c r="B394" s="29" t="s">
        <v>118</v>
      </c>
      <c r="C394" s="33" t="s">
        <v>101</v>
      </c>
      <c r="D394" s="29" t="s">
        <v>115</v>
      </c>
      <c r="E394" s="29" t="s">
        <v>116</v>
      </c>
      <c r="F394" s="29" t="s">
        <v>6</v>
      </c>
      <c r="G394" s="29" t="s">
        <v>121</v>
      </c>
      <c r="H394" s="29" t="s">
        <v>8</v>
      </c>
      <c r="I394" s="34">
        <v>375.0</v>
      </c>
      <c r="J394" s="34">
        <v>567.5</v>
      </c>
    </row>
    <row r="395" spans="2:10" ht="16" outlineLevel="1">
      <c r="B395" s="29" t="s">
        <v>118</v>
      </c>
      <c r="C395" s="33" t="s">
        <v>101</v>
      </c>
      <c r="D395" s="29" t="s">
        <v>24</v>
      </c>
      <c r="E395" s="29" t="s">
        <v>102</v>
      </c>
      <c r="F395" s="29" t="s">
        <v>54</v>
      </c>
      <c r="G395" s="29" t="s">
        <v>6</v>
      </c>
      <c r="H395" s="29" t="s">
        <v>3</v>
      </c>
      <c r="I395" s="34">
        <v>125.0</v>
      </c>
      <c r="J395" s="34">
        <v>692.5</v>
      </c>
    </row>
    <row r="396" spans="2:10" ht="16" outlineLevel="1">
      <c r="B396" s="29" t="s">
        <v>118</v>
      </c>
      <c r="C396" s="33" t="s">
        <v>101</v>
      </c>
      <c r="D396" s="29" t="s">
        <v>24</v>
      </c>
      <c r="E396" s="29" t="s">
        <v>102</v>
      </c>
      <c r="F396" s="29" t="s">
        <v>54</v>
      </c>
      <c r="G396" s="29" t="s">
        <v>6</v>
      </c>
      <c r="H396" s="29" t="s">
        <v>3</v>
      </c>
      <c r="I396" s="34">
        <v>11.25</v>
      </c>
      <c r="J396" s="34">
        <v>703.75</v>
      </c>
    </row>
    <row r="397" spans="2:10" ht="16" outlineLevel="1">
      <c r="B397" s="29" t="s">
        <v>118</v>
      </c>
      <c r="C397" s="33" t="s">
        <v>101</v>
      </c>
      <c r="D397" s="29" t="s">
        <v>24</v>
      </c>
      <c r="E397" s="29" t="s">
        <v>102</v>
      </c>
      <c r="F397" s="29" t="s">
        <v>54</v>
      </c>
      <c r="G397" s="29" t="s">
        <v>6</v>
      </c>
      <c r="H397" s="29" t="s">
        <v>3</v>
      </c>
      <c r="I397" s="34">
        <v>62.5</v>
      </c>
      <c r="J397" s="34">
        <v>766.25</v>
      </c>
    </row>
    <row r="398" spans="2:10" ht="16" outlineLevel="1">
      <c r="B398" s="29" t="s">
        <v>118</v>
      </c>
      <c r="C398" s="33" t="s">
        <v>101</v>
      </c>
      <c r="D398" s="29" t="s">
        <v>24</v>
      </c>
      <c r="E398" s="29" t="s">
        <v>102</v>
      </c>
      <c r="F398" s="29" t="s">
        <v>54</v>
      </c>
      <c r="G398" s="29" t="s">
        <v>6</v>
      </c>
      <c r="H398" s="29" t="s">
        <v>3</v>
      </c>
      <c r="I398" s="34">
        <v>30.0</v>
      </c>
      <c r="J398" s="34">
        <v>796.25</v>
      </c>
    </row>
    <row r="399" spans="2:10" ht="16" outlineLevel="1">
      <c r="B399" s="29" t="s">
        <v>118</v>
      </c>
      <c r="C399" s="33" t="s">
        <v>101</v>
      </c>
      <c r="D399" s="29" t="s">
        <v>144</v>
      </c>
      <c r="E399" s="29" t="s">
        <v>203</v>
      </c>
      <c r="F399" s="29" t="s">
        <v>204</v>
      </c>
      <c r="G399" s="29" t="s">
        <v>6</v>
      </c>
      <c r="H399" s="29" t="s">
        <v>18</v>
      </c>
      <c r="I399" s="34">
        <v>-125.0</v>
      </c>
      <c r="J399" s="34">
        <v>671.25</v>
      </c>
    </row>
    <row r="400" spans="2:10" ht="16" outlineLevel="1">
      <c r="B400" s="29" t="s">
        <v>118</v>
      </c>
      <c r="C400" s="33" t="s">
        <v>101</v>
      </c>
      <c r="D400" s="29" t="s">
        <v>144</v>
      </c>
      <c r="E400" s="29" t="s">
        <v>203</v>
      </c>
      <c r="F400" s="29" t="s">
        <v>204</v>
      </c>
      <c r="G400" s="29" t="s">
        <v>6</v>
      </c>
      <c r="H400" s="29" t="s">
        <v>18</v>
      </c>
      <c r="I400" s="34">
        <v>-10.0</v>
      </c>
      <c r="J400" s="34">
        <v>661.25</v>
      </c>
    </row>
    <row r="401" spans="2:10" ht="16" outlineLevel="1">
      <c r="B401" s="29" t="s">
        <v>118</v>
      </c>
      <c r="C401" s="33" t="s">
        <v>101</v>
      </c>
      <c r="D401" s="29" t="s">
        <v>124</v>
      </c>
      <c r="E401" s="29" t="s">
        <v>6</v>
      </c>
      <c r="F401" s="29" t="s">
        <v>137</v>
      </c>
      <c r="G401" s="29" t="s">
        <v>6</v>
      </c>
      <c r="H401" s="29" t="s">
        <v>13</v>
      </c>
      <c r="I401" s="34">
        <v>80.0</v>
      </c>
      <c r="J401" s="34">
        <v>741.25</v>
      </c>
    </row>
    <row r="402" spans="2:10" ht="16" outlineLevel="1">
      <c r="B402" s="29" t="s">
        <v>118</v>
      </c>
      <c r="C402" s="33" t="s">
        <v>101</v>
      </c>
      <c r="D402" s="29" t="s">
        <v>124</v>
      </c>
      <c r="E402" s="29" t="s">
        <v>6</v>
      </c>
      <c r="F402" s="29" t="s">
        <v>137</v>
      </c>
      <c r="G402" s="29" t="s">
        <v>6</v>
      </c>
      <c r="H402" s="29" t="s">
        <v>13</v>
      </c>
      <c r="I402" s="34">
        <v>125.0</v>
      </c>
      <c r="J402" s="34">
        <v>866.25</v>
      </c>
    </row>
    <row r="403" spans="2:10" ht="16" outlineLevel="1">
      <c r="B403" s="29" t="s">
        <v>118</v>
      </c>
      <c r="C403" s="33" t="s">
        <v>101</v>
      </c>
      <c r="D403" s="29" t="s">
        <v>144</v>
      </c>
      <c r="E403" s="29" t="s">
        <v>205</v>
      </c>
      <c r="F403" s="29" t="s">
        <v>147</v>
      </c>
      <c r="G403" s="29" t="s">
        <v>6</v>
      </c>
      <c r="H403" s="29" t="s">
        <v>18</v>
      </c>
      <c r="I403" s="34">
        <v>-125.0</v>
      </c>
      <c r="J403" s="34">
        <v>741.25</v>
      </c>
    </row>
    <row r="404" spans="2:10" ht="16" outlineLevel="1">
      <c r="B404" s="29" t="s">
        <v>118</v>
      </c>
      <c r="C404" s="33" t="s">
        <v>101</v>
      </c>
      <c r="D404" s="29" t="s">
        <v>144</v>
      </c>
      <c r="E404" s="29" t="s">
        <v>205</v>
      </c>
      <c r="F404" s="29" t="s">
        <v>147</v>
      </c>
      <c r="G404" s="29" t="s">
        <v>6</v>
      </c>
      <c r="H404" s="29" t="s">
        <v>18</v>
      </c>
      <c r="I404" s="34">
        <v>-10.0</v>
      </c>
      <c r="J404" s="34">
        <v>731.25</v>
      </c>
    </row>
    <row r="405" spans="2:10" ht="16" outlineLevel="1">
      <c r="B405" s="29" t="s">
        <v>118</v>
      </c>
      <c r="C405" s="33" t="s">
        <v>101</v>
      </c>
      <c r="D405" s="29" t="s">
        <v>144</v>
      </c>
      <c r="E405" s="29" t="s">
        <v>206</v>
      </c>
      <c r="F405" s="29" t="s">
        <v>207</v>
      </c>
      <c r="G405" s="29" t="s">
        <v>6</v>
      </c>
      <c r="H405" s="29" t="s">
        <v>18</v>
      </c>
      <c r="I405" s="34">
        <v>-125.0</v>
      </c>
      <c r="J405" s="34">
        <v>606.25</v>
      </c>
    </row>
    <row r="406" spans="2:10" ht="16" outlineLevel="1">
      <c r="B406" s="29" t="s">
        <v>118</v>
      </c>
      <c r="C406" s="33" t="s">
        <v>101</v>
      </c>
      <c r="D406" s="29" t="s">
        <v>144</v>
      </c>
      <c r="E406" s="29" t="s">
        <v>206</v>
      </c>
      <c r="F406" s="29" t="s">
        <v>207</v>
      </c>
      <c r="G406" s="29" t="s">
        <v>6</v>
      </c>
      <c r="H406" s="29" t="s">
        <v>18</v>
      </c>
      <c r="I406" s="34">
        <v>-10.0</v>
      </c>
      <c r="J406" s="34">
        <v>596.25</v>
      </c>
    </row>
    <row r="407" spans="1:9" ht="16">
      <c r="A407" s="40" t="s">
        <v>272</v>
      </c>
      <c r="I407" s="35">
        <f>I387+I388+I389+I390+I391+I392+I393+I394+I395+I396+I397+I398+I399+I400+I401+I402+I403+I404+I405+I406</f>
        <v>596.25</v>
      </c>
    </row>
    <row r="408" spans="1:1" ht="16">
      <c r="A408" s="39" t="s">
        <v>273</v>
      </c>
    </row>
    <row r="409" spans="2:10" ht="16" outlineLevel="1">
      <c r="B409" s="29" t="s">
        <v>273</v>
      </c>
      <c r="C409" s="33" t="s">
        <v>101</v>
      </c>
      <c r="D409" s="29" t="s">
        <v>144</v>
      </c>
      <c r="E409" s="29" t="s">
        <v>203</v>
      </c>
      <c r="F409" s="29" t="s">
        <v>204</v>
      </c>
      <c r="G409" s="29" t="s">
        <v>6</v>
      </c>
      <c r="H409" s="29" t="s">
        <v>18</v>
      </c>
      <c r="I409" s="34">
        <v>125.0</v>
      </c>
      <c r="J409" s="34">
        <v>125.0</v>
      </c>
    </row>
    <row r="410" spans="2:10" ht="16" outlineLevel="1">
      <c r="B410" s="29" t="s">
        <v>273</v>
      </c>
      <c r="C410" s="33" t="s">
        <v>101</v>
      </c>
      <c r="D410" s="29" t="s">
        <v>144</v>
      </c>
      <c r="E410" s="29" t="s">
        <v>203</v>
      </c>
      <c r="F410" s="29" t="s">
        <v>204</v>
      </c>
      <c r="G410" s="29" t="s">
        <v>6</v>
      </c>
      <c r="H410" s="29" t="s">
        <v>18</v>
      </c>
      <c r="I410" s="34">
        <v>10.0</v>
      </c>
      <c r="J410" s="34">
        <v>135.0</v>
      </c>
    </row>
    <row r="411" spans="2:10" ht="16" outlineLevel="1">
      <c r="B411" s="29" t="s">
        <v>273</v>
      </c>
      <c r="C411" s="33" t="s">
        <v>101</v>
      </c>
      <c r="D411" s="29" t="s">
        <v>144</v>
      </c>
      <c r="E411" s="29" t="s">
        <v>205</v>
      </c>
      <c r="F411" s="29" t="s">
        <v>147</v>
      </c>
      <c r="G411" s="29" t="s">
        <v>6</v>
      </c>
      <c r="H411" s="29" t="s">
        <v>18</v>
      </c>
      <c r="I411" s="34">
        <v>125.0</v>
      </c>
      <c r="J411" s="34">
        <v>260.0</v>
      </c>
    </row>
    <row r="412" spans="2:10" ht="16" outlineLevel="1">
      <c r="B412" s="29" t="s">
        <v>273</v>
      </c>
      <c r="C412" s="33" t="s">
        <v>101</v>
      </c>
      <c r="D412" s="29" t="s">
        <v>144</v>
      </c>
      <c r="E412" s="29" t="s">
        <v>205</v>
      </c>
      <c r="F412" s="29" t="s">
        <v>147</v>
      </c>
      <c r="G412" s="29" t="s">
        <v>6</v>
      </c>
      <c r="H412" s="29" t="s">
        <v>18</v>
      </c>
      <c r="I412" s="34">
        <v>10.0</v>
      </c>
      <c r="J412" s="34">
        <v>270.0</v>
      </c>
    </row>
    <row r="413" spans="2:10" ht="16" outlineLevel="1">
      <c r="B413" s="29" t="s">
        <v>273</v>
      </c>
      <c r="C413" s="33" t="s">
        <v>101</v>
      </c>
      <c r="D413" s="29" t="s">
        <v>144</v>
      </c>
      <c r="E413" s="29" t="s">
        <v>206</v>
      </c>
      <c r="F413" s="29" t="s">
        <v>207</v>
      </c>
      <c r="G413" s="29" t="s">
        <v>6</v>
      </c>
      <c r="H413" s="29" t="s">
        <v>18</v>
      </c>
      <c r="I413" s="34">
        <v>125.0</v>
      </c>
      <c r="J413" s="34">
        <v>395.0</v>
      </c>
    </row>
    <row r="414" spans="2:10" ht="16" outlineLevel="1">
      <c r="B414" s="29" t="s">
        <v>273</v>
      </c>
      <c r="C414" s="33" t="s">
        <v>101</v>
      </c>
      <c r="D414" s="29" t="s">
        <v>144</v>
      </c>
      <c r="E414" s="29" t="s">
        <v>206</v>
      </c>
      <c r="F414" s="29" t="s">
        <v>207</v>
      </c>
      <c r="G414" s="29" t="s">
        <v>6</v>
      </c>
      <c r="H414" s="29" t="s">
        <v>18</v>
      </c>
      <c r="I414" s="34">
        <v>10.0</v>
      </c>
      <c r="J414" s="34">
        <v>405.0</v>
      </c>
    </row>
    <row r="415" spans="1:9" ht="16">
      <c r="A415" s="40" t="s">
        <v>274</v>
      </c>
      <c r="I415" s="35">
        <f>I409+I410+I411+I412+I413+I414</f>
        <v>405.0</v>
      </c>
    </row>
    <row r="416" spans="1:1" ht="16">
      <c r="A416" s="39" t="s">
        <v>105</v>
      </c>
    </row>
    <row r="417" spans="2:10" ht="16" outlineLevel="1">
      <c r="B417" s="29" t="s">
        <v>105</v>
      </c>
      <c r="C417" s="33" t="s">
        <v>101</v>
      </c>
      <c r="D417" s="29" t="s">
        <v>20</v>
      </c>
      <c r="E417" s="29" t="s">
        <v>103</v>
      </c>
      <c r="F417" s="29" t="s">
        <v>104</v>
      </c>
      <c r="G417" s="29" t="s">
        <v>6</v>
      </c>
      <c r="H417" s="29" t="s">
        <v>3</v>
      </c>
      <c r="I417" s="34">
        <v>75.0</v>
      </c>
      <c r="J417" s="34">
        <v>75.0</v>
      </c>
    </row>
    <row r="418" spans="1:9" ht="16" outlineLevel="1">
      <c r="A418" s="40" t="s">
        <v>275</v>
      </c>
      <c r="I418" s="35">
        <f>I417</f>
        <v>75.0</v>
      </c>
    </row>
    <row r="419" spans="1:1" ht="16" outlineLevel="1">
      <c r="A419" s="41" t="s">
        <v>59</v>
      </c>
    </row>
    <row r="420" spans="2:10" ht="16" outlineLevel="2">
      <c r="B420" s="29" t="s">
        <v>59</v>
      </c>
      <c r="C420" s="33" t="s">
        <v>123</v>
      </c>
      <c r="D420" s="29" t="s">
        <v>124</v>
      </c>
      <c r="E420" s="29" t="s">
        <v>6</v>
      </c>
      <c r="F420" s="29" t="s">
        <v>12</v>
      </c>
      <c r="G420" s="29" t="s">
        <v>125</v>
      </c>
      <c r="H420" s="29" t="s">
        <v>13</v>
      </c>
      <c r="I420" s="34">
        <v>300.0</v>
      </c>
      <c r="J420" s="34">
        <v>300.0</v>
      </c>
    </row>
    <row r="421" spans="2:10" ht="16" outlineLevel="2">
      <c r="B421" s="29" t="s">
        <v>59</v>
      </c>
      <c r="C421" s="33" t="s">
        <v>57</v>
      </c>
      <c r="D421" s="29" t="s">
        <v>24</v>
      </c>
      <c r="E421" s="29" t="s">
        <v>6</v>
      </c>
      <c r="F421" s="29" t="s">
        <v>58</v>
      </c>
      <c r="G421" s="29" t="s">
        <v>6</v>
      </c>
      <c r="H421" s="29" t="s">
        <v>3</v>
      </c>
      <c r="I421" s="34">
        <v>100.0</v>
      </c>
      <c r="J421" s="34">
        <v>400.0</v>
      </c>
    </row>
    <row r="422" spans="1:9" ht="16" outlineLevel="1">
      <c r="A422" s="44" t="s">
        <v>276</v>
      </c>
      <c r="I422" s="35">
        <f>I419+I420+I421</f>
        <v>400.0</v>
      </c>
    </row>
    <row r="423" spans="1:1" ht="16" outlineLevel="1">
      <c r="A423" s="41" t="s">
        <v>22</v>
      </c>
    </row>
    <row r="424" spans="2:10" ht="16" outlineLevel="2">
      <c r="B424" s="29" t="s">
        <v>22</v>
      </c>
      <c r="C424" s="33" t="s">
        <v>19</v>
      </c>
      <c r="D424" s="29" t="s">
        <v>20</v>
      </c>
      <c r="E424" s="29" t="s">
        <v>21</v>
      </c>
      <c r="F424" s="29" t="s">
        <v>12</v>
      </c>
      <c r="G424" s="29" t="s">
        <v>6</v>
      </c>
      <c r="H424" s="29" t="s">
        <v>3</v>
      </c>
      <c r="I424" s="34">
        <v>250.0</v>
      </c>
      <c r="J424" s="34">
        <v>250.0</v>
      </c>
    </row>
    <row r="425" spans="2:10" ht="16" outlineLevel="2">
      <c r="B425" s="29" t="s">
        <v>22</v>
      </c>
      <c r="C425" s="33" t="s">
        <v>135</v>
      </c>
      <c r="D425" s="29" t="s">
        <v>124</v>
      </c>
      <c r="E425" s="29" t="s">
        <v>6</v>
      </c>
      <c r="F425" s="29" t="s">
        <v>35</v>
      </c>
      <c r="G425" s="29" t="s">
        <v>6</v>
      </c>
      <c r="H425" s="29" t="s">
        <v>13</v>
      </c>
      <c r="I425" s="34">
        <v>75.0</v>
      </c>
      <c r="J425" s="34">
        <v>325.0</v>
      </c>
    </row>
    <row r="426" spans="2:10" ht="16" outlineLevel="2">
      <c r="B426" s="29" t="s">
        <v>22</v>
      </c>
      <c r="C426" s="33" t="s">
        <v>101</v>
      </c>
      <c r="D426" s="29" t="s">
        <v>124</v>
      </c>
      <c r="E426" s="29" t="s">
        <v>6</v>
      </c>
      <c r="F426" s="29" t="s">
        <v>12</v>
      </c>
      <c r="G426" s="29" t="s">
        <v>6</v>
      </c>
      <c r="H426" s="29" t="s">
        <v>13</v>
      </c>
      <c r="I426" s="34">
        <v>315.0</v>
      </c>
      <c r="J426" s="34">
        <v>640.0</v>
      </c>
    </row>
    <row r="427" spans="1:9" ht="16" outlineLevel="1">
      <c r="A427" s="44" t="s">
        <v>277</v>
      </c>
      <c r="I427" s="35">
        <f>I423+I424+I425+I426</f>
        <v>640.0</v>
      </c>
    </row>
    <row r="428" spans="1:1" ht="16" outlineLevel="1">
      <c r="A428" s="41" t="s">
        <v>36</v>
      </c>
    </row>
    <row r="429" spans="2:10" ht="16" outlineLevel="2">
      <c r="B429" s="29" t="s">
        <v>36</v>
      </c>
      <c r="C429" s="33" t="s">
        <v>31</v>
      </c>
      <c r="D429" s="29" t="s">
        <v>24</v>
      </c>
      <c r="E429" s="29" t="s">
        <v>21</v>
      </c>
      <c r="F429" s="29" t="s">
        <v>35</v>
      </c>
      <c r="G429" s="29" t="s">
        <v>6</v>
      </c>
      <c r="H429" s="29" t="s">
        <v>3</v>
      </c>
      <c r="I429" s="34">
        <v>55.0</v>
      </c>
      <c r="J429" s="34">
        <v>55.0</v>
      </c>
    </row>
    <row r="430" spans="1:9" ht="16" outlineLevel="1">
      <c r="A430" s="44" t="s">
        <v>278</v>
      </c>
      <c r="I430" s="35">
        <f>I428+I429</f>
        <v>55.0</v>
      </c>
    </row>
    <row r="431" spans="1:9" ht="16">
      <c r="A431" s="40" t="s">
        <v>279</v>
      </c>
      <c r="I431" s="35">
        <v>1170.0</v>
      </c>
    </row>
    <row r="432" spans="1:1" ht="16">
      <c r="A432" s="39" t="s">
        <v>280</v>
      </c>
    </row>
    <row r="433" spans="1:1" ht="16" outlineLevel="1">
      <c r="A433" s="41" t="s">
        <v>128</v>
      </c>
    </row>
    <row r="434" spans="2:10" ht="16" outlineLevel="2">
      <c r="B434" s="29" t="s">
        <v>128</v>
      </c>
      <c r="C434" s="33" t="s">
        <v>126</v>
      </c>
      <c r="D434" s="29" t="s">
        <v>124</v>
      </c>
      <c r="E434" s="29" t="s">
        <v>6</v>
      </c>
      <c r="F434" s="29" t="s">
        <v>127</v>
      </c>
      <c r="G434" s="29" t="s">
        <v>6</v>
      </c>
      <c r="H434" s="29" t="s">
        <v>13</v>
      </c>
      <c r="I434" s="34">
        <v>56.5</v>
      </c>
      <c r="J434" s="34">
        <v>56.5</v>
      </c>
    </row>
    <row r="435" spans="2:10" ht="16" outlineLevel="2">
      <c r="B435" s="29" t="s">
        <v>128</v>
      </c>
      <c r="C435" s="33" t="s">
        <v>112</v>
      </c>
      <c r="D435" s="29" t="s">
        <v>124</v>
      </c>
      <c r="E435" s="29" t="s">
        <v>6</v>
      </c>
      <c r="F435" s="29" t="s">
        <v>127</v>
      </c>
      <c r="G435" s="29" t="s">
        <v>6</v>
      </c>
      <c r="H435" s="29" t="s">
        <v>13</v>
      </c>
      <c r="I435" s="34">
        <v>74.36</v>
      </c>
      <c r="J435" s="34">
        <v>130.86</v>
      </c>
    </row>
    <row r="436" spans="1:9" ht="16" outlineLevel="1">
      <c r="A436" s="44" t="s">
        <v>281</v>
      </c>
      <c r="I436" s="35">
        <f>I433+I434+I435</f>
        <v>130.86</v>
      </c>
    </row>
    <row r="437" spans="1:1" ht="16" outlineLevel="1">
      <c r="A437" s="41" t="s">
        <v>130</v>
      </c>
    </row>
    <row r="438" spans="2:10" ht="16" outlineLevel="2">
      <c r="B438" s="29" t="s">
        <v>130</v>
      </c>
      <c r="C438" s="33" t="s">
        <v>129</v>
      </c>
      <c r="D438" s="29" t="s">
        <v>124</v>
      </c>
      <c r="E438" s="29" t="s">
        <v>6</v>
      </c>
      <c r="F438" s="29" t="s">
        <v>97</v>
      </c>
      <c r="G438" s="29" t="s">
        <v>6</v>
      </c>
      <c r="H438" s="29" t="s">
        <v>13</v>
      </c>
      <c r="I438" s="34">
        <v>86.44</v>
      </c>
      <c r="J438" s="34">
        <v>86.44</v>
      </c>
    </row>
    <row r="439" spans="2:10" ht="16" outlineLevel="2">
      <c r="B439" s="29" t="s">
        <v>130</v>
      </c>
      <c r="C439" s="33" t="s">
        <v>112</v>
      </c>
      <c r="D439" s="29" t="s">
        <v>124</v>
      </c>
      <c r="E439" s="29" t="s">
        <v>6</v>
      </c>
      <c r="F439" s="29" t="s">
        <v>97</v>
      </c>
      <c r="G439" s="29" t="s">
        <v>6</v>
      </c>
      <c r="H439" s="29" t="s">
        <v>13</v>
      </c>
      <c r="I439" s="34">
        <v>114.09</v>
      </c>
      <c r="J439" s="34">
        <v>200.53</v>
      </c>
    </row>
    <row r="440" spans="1:9" ht="16" outlineLevel="1">
      <c r="A440" s="44" t="s">
        <v>282</v>
      </c>
      <c r="I440" s="35">
        <f>I437+I438+I439</f>
        <v>200.53</v>
      </c>
    </row>
    <row r="441" spans="1:9" ht="16">
      <c r="A441" s="40" t="s">
        <v>283</v>
      </c>
      <c r="I441" s="35">
        <f>I436+I440</f>
        <v>331.39</v>
      </c>
    </row>
    <row r="442" spans="1:1" ht="16">
      <c r="A442" s="39" t="s">
        <v>284</v>
      </c>
    </row>
    <row r="443" spans="1:1" ht="16" outlineLevel="1">
      <c r="A443" s="41" t="s">
        <v>285</v>
      </c>
    </row>
    <row r="444" spans="2:10" ht="16" outlineLevel="2">
      <c r="B444" s="29" t="s">
        <v>285</v>
      </c>
      <c r="C444" s="33" t="s">
        <v>112</v>
      </c>
      <c r="D444" s="29" t="s">
        <v>113</v>
      </c>
      <c r="E444" s="29" t="s">
        <v>6</v>
      </c>
      <c r="F444" s="29" t="s">
        <v>6</v>
      </c>
      <c r="G444" s="29" t="s">
        <v>7</v>
      </c>
      <c r="H444" s="29" t="s">
        <v>6</v>
      </c>
      <c r="I444" s="34">
        <v>13495.0</v>
      </c>
      <c r="J444" s="34">
        <v>13495.0</v>
      </c>
    </row>
    <row r="445" spans="1:9" ht="16" outlineLevel="1">
      <c r="A445" s="44" t="s">
        <v>286</v>
      </c>
      <c r="I445" s="35">
        <f>I443+I444</f>
        <v>13495.0</v>
      </c>
    </row>
    <row r="446" spans="1:9" ht="16">
      <c r="A446" s="40" t="s">
        <v>287</v>
      </c>
      <c r="I446" s="35">
        <f>I445</f>
        <v>13495.0</v>
      </c>
    </row>
    <row r="447" spans="1:1" ht="16">
      <c r="A447" s="39" t="s">
        <v>288</v>
      </c>
    </row>
    <row r="448" spans="2:10" ht="16" outlineLevel="1">
      <c r="B448" s="29" t="s">
        <v>289</v>
      </c>
      <c r="J448" s="34">
        <v>0</v>
      </c>
    </row>
    <row r="449" spans="1:9" ht="16">
      <c r="A449" s="40" t="s">
        <v>290</v>
      </c>
      <c r="I449" s="35">
        <f>I448</f>
        <v>0.0</v>
      </c>
    </row>
    <row r="453" spans="1:1" ht="16">
      <c r="A453" s="45" t="s">
        <v>300</v>
      </c>
    </row>
  </sheetData>
  <mergeCells count="4">
    <mergeCell ref="A1:I1"/>
    <mergeCell ref="A2:I2"/>
    <mergeCell ref="A3:I3"/>
    <mergeCell ref="A453:I45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