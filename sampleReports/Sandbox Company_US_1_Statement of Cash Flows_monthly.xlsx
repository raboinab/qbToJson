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1" l="1"/>
</calcChain>
</file>

<file path=xl/sharedStrings.xml><?xml version="1.0" encoding="utf-8"?>
<sst xmlns="http://schemas.openxmlformats.org/spreadsheetml/2006/main" count="34" uniqueCount="34">
  <si>
    <t>Statement of Cash Flows</t>
  </si>
  <si>
    <t>Sandbox Company_US_1</t>
  </si>
  <si>
    <t>January 1-August 26, 2025</t>
  </si>
  <si>
    <t>OPERATING ACTIVITIES</t>
  </si>
  <si>
    <t>Net Income</t>
  </si>
  <si>
    <t>Adjustments to reconcile Net Income to Net Cash provided by operations:</t>
  </si>
  <si>
    <t>Accounts Payable (A/P)</t>
  </si>
  <si>
    <t>Accounts Receivable (A/R)</t>
  </si>
  <si>
    <t>Arizona Dept. of Revenue Payable</t>
  </si>
  <si>
    <t>Board of Equalization Payable</t>
  </si>
  <si>
    <t>Inventory Asset</t>
  </si>
  <si>
    <t>Loan Payable</t>
  </si>
  <si>
    <t>Mastercard</t>
  </si>
  <si>
    <t>Total for Adjustments to reconcile Net Income to Net Cash provided by operations:</t>
  </si>
  <si>
    <t>Net cash provided by operating activities</t>
  </si>
  <si>
    <t>INVESTING ACTIVITIES</t>
  </si>
  <si>
    <t>Truck:Original Cost</t>
  </si>
  <si>
    <t>Net cash provided by investing activities</t>
  </si>
  <si>
    <t>FINANCING ACTIVITIES</t>
  </si>
  <si>
    <t>Notes Payable</t>
  </si>
  <si>
    <t>Opening Balance Equity</t>
  </si>
  <si>
    <t>Net cash provided by financing activities</t>
  </si>
  <si>
    <t>NET CASH INCREASE FOR PERIOD</t>
  </si>
  <si>
    <t>Full name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</si>
  <si>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</si>
  <si>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</si>
  <si>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</si>
  <si>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</si>
  <si>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</si>
  <si>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</si>
  <si>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</si>
  <si>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 1 - Aug 26 2025</t>
  </si>
  <si>
    <t>Total</t>
  </si>
  <si>
    <t>Accrual Basis Wednesday, August 27, 2025 01:05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</si>
</sst>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4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9"/>
  <sheetViews>
    <sheetView tabSelected="1" workbookViewId="0" topLeftCell="A1"/>
  </sheetViews>
  <sheetFormatPr defaultColWidth="11.255" defaultRowHeight="16" outlineLevelRow="2"/>
  <cols>
    <col min="1" max="1" width="70.25" style="36" customWidth="1"/>
    <col min="2" max="2" width="11" style="36" customWidth="1"/>
    <col min="3" max="3" width="11.75" style="36" customWidth="1"/>
    <col min="4" max="4" width="9.25" style="36" customWidth="1"/>
    <col min="5" max="5" width="16.125" style="36" customWidth="1"/>
    <col min="6" max="7" width="17" style="36" customWidth="1"/>
    <col min="8" max="8" width="16.125" style="36" customWidth="1"/>
    <col min="9" max="9" width="17" style="36" customWidth="1"/>
    <col min="10" max="10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10" ht="16">
      <c r="A5" s="38" t="s">
        <v>23</v>
      </c>
      <c r="B5" s="38" t="s">
        <v>24</v>
      </c>
      <c r="C5" s="38" t="s">
        <v>25</v>
      </c>
      <c r="D5" s="38" t="s">
        <v>26</v>
      </c>
      <c r="E5" s="38" t="s">
        <v>27</v>
      </c>
      <c r="F5" s="38" t="s">
        <v>28</v>
      </c>
      <c r="G5" s="38" t="s">
        <v>29</v>
      </c>
      <c r="H5" s="38" t="s">
        <v>30</v>
      </c>
      <c r="I5" s="38" t="s">
        <v>31</v>
      </c>
      <c r="J5" s="38" t="s">
        <v>32</v>
      </c>
    </row>
    <row r="6" spans="1:1" ht="16">
      <c r="A6" s="31" t="s">
        <v>3</v>
      </c>
    </row>
    <row r="7" spans="1:10" ht="16" outlineLevel="1">
      <c r="A7" s="32" t="s">
        <v>4</v>
      </c>
      <c r="B7" s="39"/>
      <c r="C7" s="41">
        <v>-300.0</v>
      </c>
      <c r="D7" s="41">
        <v>391.25</v>
      </c>
      <c r="E7" s="41">
        <v>112.91999999999996</v>
      </c>
      <c r="F7" s="41">
        <v>180.32</v>
      </c>
      <c r="G7" s="41">
        <v>1160.629999999999</v>
      </c>
      <c r="H7" s="41">
        <v>97.34000000000003</v>
      </c>
      <c r="I7" s="39"/>
      <c r="J7" s="41">
        <f>B7+C7+D7+E7+F7+G7+H7+I7</f>
        <v>1642.4599999999991</v>
      </c>
    </row>
    <row r="8" spans="1:1" ht="16" outlineLevel="1">
      <c r="A8" s="32" t="s">
        <v>5</v>
      </c>
    </row>
    <row r="9" spans="1:10" ht="16" outlineLevel="2">
      <c r="A9" s="33" t="s">
        <v>6</v>
      </c>
      <c r="B9" s="39"/>
      <c r="C9" s="41">
        <v>300.0</v>
      </c>
      <c r="D9" s="41">
        <v>-300.0</v>
      </c>
      <c r="E9" s="39"/>
      <c r="F9" s="41">
        <v>392.94</v>
      </c>
      <c r="G9" s="41">
        <v>849.78</v>
      </c>
      <c r="H9" s="41">
        <v>359.95</v>
      </c>
      <c r="I9" s="39"/>
      <c r="J9" s="41">
        <f>B9+C9+D9+E9+F9+G9+H9+I9</f>
        <v>1602.67</v>
      </c>
    </row>
    <row r="10" spans="1:10" ht="16" outlineLevel="2">
      <c r="A10" s="33" t="s">
        <v>7</v>
      </c>
      <c r="B10" s="39"/>
      <c r="C10" s="39"/>
      <c r="D10" s="41">
        <v>-401.75</v>
      </c>
      <c r="E10" s="41">
        <v>-141.25</v>
      </c>
      <c r="F10" s="41">
        <v>-992.8</v>
      </c>
      <c r="G10" s="41">
        <v>-4654.39</v>
      </c>
      <c r="H10" s="41">
        <v>908.67</v>
      </c>
      <c r="I10" s="39"/>
      <c r="J10" s="41">
        <f>B10+C10+D10+E10+F10+G10+H10+I10</f>
        <v>-5281.52</v>
      </c>
    </row>
    <row r="11" spans="1:10" ht="16" outlineLevel="2">
      <c r="A11" s="33" t="s">
        <v>8</v>
      </c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16" outlineLevel="2">
      <c r="A12" s="33" t="s">
        <v>9</v>
      </c>
      <c r="B12" s="39"/>
      <c r="C12" s="39"/>
      <c r="D12" s="41">
        <v>10.5</v>
      </c>
      <c r="E12" s="41">
        <v>22.0</v>
      </c>
      <c r="F12" s="41">
        <v>-26.1</v>
      </c>
      <c r="G12" s="41">
        <v>314.44</v>
      </c>
      <c r="H12" s="41">
        <v>50.1</v>
      </c>
      <c r="I12" s="39"/>
      <c r="J12" s="41">
        <f>B12+C12+D12+E12+F12+G12+H12+I12</f>
        <v>370.94</v>
      </c>
    </row>
    <row r="13" spans="1:10" ht="16" outlineLevel="2">
      <c r="A13" s="33" t="s">
        <v>10</v>
      </c>
      <c r="B13" s="39"/>
      <c r="C13" s="39"/>
      <c r="D13" s="39"/>
      <c r="E13" s="39"/>
      <c r="F13" s="39"/>
      <c r="G13" s="39"/>
      <c r="H13" s="41">
        <v>-596.25</v>
      </c>
      <c r="I13" s="39"/>
      <c r="J13" s="41">
        <f>B13+C13+D13+E13+F13+G13+H13+I13</f>
        <v>-596.25</v>
      </c>
    </row>
    <row r="14" spans="1:10" ht="16" outlineLevel="2">
      <c r="A14" s="33" t="s">
        <v>11</v>
      </c>
      <c r="B14" s="39"/>
      <c r="C14" s="39"/>
      <c r="D14" s="39"/>
      <c r="E14" s="39"/>
      <c r="F14" s="39"/>
      <c r="G14" s="41">
        <v>4000.0</v>
      </c>
      <c r="H14" s="39"/>
      <c r="I14" s="39"/>
      <c r="J14" s="41">
        <f>B14+C14+D14+E14+F14+G14+H14+I14</f>
        <v>4000.0</v>
      </c>
    </row>
    <row r="15" spans="1:10" ht="16" outlineLevel="2">
      <c r="A15" s="33" t="s">
        <v>12</v>
      </c>
      <c r="B15" s="39"/>
      <c r="C15" s="39"/>
      <c r="D15" s="39"/>
      <c r="E15" s="41">
        <v>158.08</v>
      </c>
      <c r="F15" s="39"/>
      <c r="G15" s="41">
        <v>551.68</v>
      </c>
      <c r="H15" s="41">
        <v>-552.04</v>
      </c>
      <c r="I15" s="39"/>
      <c r="J15" s="41">
        <f>B15+C15+D15+E15+F15+G15+H15+I15</f>
        <v>157.72000000000003</v>
      </c>
    </row>
    <row r="16" spans="1:10" ht="16" outlineLevel="1">
      <c r="A16" s="34" t="s">
        <v>13</v>
      </c>
      <c r="B16" s="40"/>
      <c r="C16" s="40">
        <f>C8+C9+C10+C11+C12+C13+C14+C15</f>
        <v>300.0</v>
      </c>
      <c r="D16" s="40">
        <f>D8+D9+D10+D11+D12+D13+D14+D15</f>
        <v>-691.25</v>
      </c>
      <c r="E16" s="40">
        <f>E8+E9+E10+E11+E12+E13+E14+E15</f>
        <v>38.83000000000001</v>
      </c>
      <c r="F16" s="40">
        <f>F8+F9+F10+F11+F12+F13+F14+F15</f>
        <v>-625.9599999999999</v>
      </c>
      <c r="G16" s="40">
        <f>G8+G9+G10+G11+G12+G13+G14+G15</f>
        <v>1061.5099999999993</v>
      </c>
      <c r="H16" s="40">
        <f>H8+H9+H10+H11+H12+H13+H14+H15</f>
        <v>170.42999999999984</v>
      </c>
      <c r="I16" s="40"/>
      <c r="J16" s="42">
        <f>B16+C16+D16+E16+F16+G16+H16+I16</f>
        <v>253.55999999999926</v>
      </c>
    </row>
    <row r="17" spans="1:10" ht="16">
      <c r="A17" s="35" t="s">
        <v>14</v>
      </c>
      <c r="B17" s="40"/>
      <c r="C17" s="40">
        <f>C7+C16</f>
        <v>0.0</v>
      </c>
      <c r="D17" s="40">
        <f>D7+D16</f>
        <v>-300.0</v>
      </c>
      <c r="E17" s="40">
        <f>E7+E16</f>
        <v>151.74999999999997</v>
      </c>
      <c r="F17" s="40">
        <f>F7+F16</f>
        <v>-445.63999999999993</v>
      </c>
      <c r="G17" s="40">
        <f>G7+G16</f>
        <v>2222.1399999999985</v>
      </c>
      <c r="H17" s="40">
        <f>H7+H16</f>
        <v>267.76999999999987</v>
      </c>
      <c r="I17" s="40"/>
      <c r="J17" s="42">
        <f>B17+C17+D17+E17+F17+G17+H17+I17</f>
        <v>1896.0199999999986</v>
      </c>
    </row>
    <row r="18" spans="1:1" ht="16">
      <c r="A18" s="31" t="s">
        <v>15</v>
      </c>
    </row>
    <row r="19" spans="1:10" ht="16" outlineLevel="1">
      <c r="A19" s="32" t="s">
        <v>16</v>
      </c>
      <c r="B19" s="39"/>
      <c r="C19" s="39"/>
      <c r="D19" s="39"/>
      <c r="E19" s="39"/>
      <c r="F19" s="39"/>
      <c r="G19" s="41">
        <v>-13495.0</v>
      </c>
      <c r="H19" s="39"/>
      <c r="I19" s="39"/>
      <c r="J19" s="41">
        <f>B19+C19+D19+E19+F19+G19+H19+I19</f>
        <v>-13495.0</v>
      </c>
    </row>
    <row r="20" spans="1:10" ht="16">
      <c r="A20" s="35" t="s">
        <v>17</v>
      </c>
      <c r="B20" s="40"/>
      <c r="C20" s="40"/>
      <c r="D20" s="40"/>
      <c r="E20" s="40"/>
      <c r="F20" s="40"/>
      <c r="G20" s="40">
        <f>G19</f>
        <v>-13495.0</v>
      </c>
      <c r="H20" s="40"/>
      <c r="I20" s="40"/>
      <c r="J20" s="42">
        <f>B20+C20+D20+E20+F20+G20+H20+I20</f>
        <v>-13495.0</v>
      </c>
    </row>
    <row r="21" spans="1:1" ht="16">
      <c r="A21" s="31" t="s">
        <v>18</v>
      </c>
    </row>
    <row r="22" spans="1:10" ht="16" outlineLevel="1">
      <c r="A22" s="32" t="s">
        <v>19</v>
      </c>
      <c r="B22" s="39"/>
      <c r="C22" s="39"/>
      <c r="D22" s="39"/>
      <c r="E22" s="39"/>
      <c r="F22" s="39"/>
      <c r="G22" s="41">
        <v>25000.0</v>
      </c>
      <c r="H22" s="39"/>
      <c r="I22" s="39"/>
      <c r="J22" s="41">
        <f>B22+C22+D22+E22+F22+G22+H22+I22</f>
        <v>25000.0</v>
      </c>
    </row>
    <row r="23" spans="1:10" ht="16" outlineLevel="1">
      <c r="A23" s="32" t="s">
        <v>20</v>
      </c>
      <c r="B23" s="39"/>
      <c r="C23" s="41">
        <v>5000.0</v>
      </c>
      <c r="D23" s="39"/>
      <c r="E23" s="39"/>
      <c r="F23" s="39"/>
      <c r="G23" s="41">
        <v>-14905.0</v>
      </c>
      <c r="H23" s="41">
        <v>567.5</v>
      </c>
      <c r="I23" s="39"/>
      <c r="J23" s="41">
        <f>B23+C23+D23+E23+F23+G23+H23+I23</f>
        <v>-9337.5</v>
      </c>
    </row>
    <row r="24" spans="1:10" ht="16">
      <c r="A24" s="35" t="s">
        <v>21</v>
      </c>
      <c r="B24" s="40"/>
      <c r="C24" s="40">
        <f>C22+C23</f>
        <v>5000.0</v>
      </c>
      <c r="D24" s="40"/>
      <c r="E24" s="40"/>
      <c r="F24" s="40"/>
      <c r="G24" s="40">
        <f>G22+G23</f>
        <v>10095.0</v>
      </c>
      <c r="H24" s="40">
        <f>H22+H23</f>
        <v>567.5</v>
      </c>
      <c r="I24" s="40"/>
      <c r="J24" s="42">
        <f>B24+C24+D24+E24+F24+G24+H24+I24</f>
        <v>15662.5</v>
      </c>
    </row>
    <row r="25" spans="1:10" ht="16">
      <c r="A25" s="35" t="s">
        <v>22</v>
      </c>
      <c r="B25" s="40">
        <f>B17+B20+B24</f>
        <v>0.0</v>
      </c>
      <c r="C25" s="40">
        <f>C17+C20+C24</f>
        <v>5000.0</v>
      </c>
      <c r="D25" s="40">
        <f>D17+D20+D24</f>
        <v>-300.0</v>
      </c>
      <c r="E25" s="40">
        <f>E17+E20+E24</f>
        <v>151.74999999999997</v>
      </c>
      <c r="F25" s="40">
        <f>F17+F20+F24</f>
        <v>-445.63999999999993</v>
      </c>
      <c r="G25" s="40">
        <f>G17+G20+G24</f>
        <v>-1177.8600000000006</v>
      </c>
      <c r="H25" s="40">
        <f>H17+H20+H24</f>
        <v>835.2699999999999</v>
      </c>
      <c r="I25" s="40">
        <f>I17+I20+I24</f>
        <v>0.0</v>
      </c>
      <c r="J25" s="42">
        <f>B25+C25+D25+E25+F25+G25+H25+I25</f>
        <v>4063.519999999999</v>
      </c>
    </row>
    <row r="29" spans="1:1" ht="16">
      <c r="A29" s="43" t="s">
        <v>33</v>
      </c>
    </row>
  </sheetData>
  <mergeCells count="4">
    <mergeCell ref="A1:J1"/>
    <mergeCell ref="A2:J2"/>
    <mergeCell ref="A3:J3"/>
    <mergeCell ref="A29:J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