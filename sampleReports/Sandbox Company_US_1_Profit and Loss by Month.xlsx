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" i="1" l="1"/>
</calcChain>
</file>

<file path=xl/sharedStrings.xml><?xml version="1.0" encoding="utf-8"?>
<sst xmlns="http://schemas.openxmlformats.org/spreadsheetml/2006/main" count="72" uniqueCount="66">
  <si>
    <t>Profit and Loss by Month</t>
  </si>
  <si>
    <t>Sandbox Company_US_1</t>
  </si>
  <si>
    <t>January 1-July 31, 2025</t>
  </si>
  <si>
    <t>Income</t>
  </si>
  <si>
    <t>Design income</t>
  </si>
  <si>
    <t>Discounts given</t>
  </si>
  <si>
    <t>Landscaping Services</t>
  </si>
  <si>
    <t>Job Materials</t>
  </si>
  <si>
    <t>Fountains and Garden Lighting</t>
  </si>
  <si>
    <t>Plants and Soil</t>
  </si>
  <si>
    <t>Sprinklers and Drip Systems</t>
  </si>
  <si>
    <t>Total for Job Materials</t>
  </si>
  <si>
    <t>Labor</t>
  </si>
  <si>
    <t>Installation</t>
  </si>
  <si>
    <t>Maintenance and Repair</t>
  </si>
  <si>
    <t>Total for Labor</t>
  </si>
  <si>
    <t>Total for Landscaping Services</t>
  </si>
  <si>
    <t>Pest Control Services</t>
  </si>
  <si>
    <t>Sales of Product Income</t>
  </si>
  <si>
    <t>Services</t>
  </si>
  <si>
    <t>Total for Income</t>
  </si>
  <si>
    <t>Cost of Goods Sold</t>
  </si>
  <si>
    <t>Total for Cost of Goods Sold</t>
  </si>
  <si>
    <t>Gross Profit</t>
  </si>
  <si>
    <t>Expenses</t>
  </si>
  <si>
    <t>Advertising</t>
  </si>
  <si>
    <t>Automobile</t>
  </si>
  <si>
    <t>Fuel</t>
  </si>
  <si>
    <t>Total for Automobile</t>
  </si>
  <si>
    <t>Equipment Rental</t>
  </si>
  <si>
    <t>Insurance</t>
  </si>
  <si>
    <t>Job Expenses</t>
  </si>
  <si>
    <t>Decks and Patios</t>
  </si>
  <si>
    <t>Total for Job Expenses</t>
  </si>
  <si>
    <t>Legal &amp; Professional Fees</t>
  </si>
  <si>
    <t>Accounting</t>
  </si>
  <si>
    <t>Bookkeeper</t>
  </si>
  <si>
    <t>Lawyer</t>
  </si>
  <si>
    <t>Total for Legal &amp; Professional Fees</t>
  </si>
  <si>
    <t>Equipment Repairs</t>
  </si>
  <si>
    <t>Total for Maintenance and Repair</t>
  </si>
  <si>
    <t>Meals and Entertainment</t>
  </si>
  <si>
    <t>Office Expenses</t>
  </si>
  <si>
    <t>Rent or Lease</t>
  </si>
  <si>
    <t>Utilities</t>
  </si>
  <si>
    <t>Gas and Electric</t>
  </si>
  <si>
    <t>Telephone</t>
  </si>
  <si>
    <t>Total for Utilities</t>
  </si>
  <si>
    <t>Total for Expenses</t>
  </si>
  <si>
    <t>Net Operating Income</t>
  </si>
  <si>
    <t>Other Income</t>
  </si>
  <si>
    <t>Other Expenses</t>
  </si>
  <si>
    <t>Miscellaneous</t>
  </si>
  <si>
    <t>Total for Other Expenses</t>
  </si>
  <si>
    <t>Net Other Income</t>
  </si>
  <si>
    <t>Net Income</t>
  </si>
  <si>
    <t>Distribution account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</si>
  <si>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</si>
  <si>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</si>
  <si>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</si>
  <si>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</si>
  <si>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</si>
  <si>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</si>
  <si>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</si>
  <si>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Total</t>
  </si>
  <si>
    <t>Accrual Basis Sunday, July 27, 2025 09:02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</si>
</sst>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0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4" fillId="0" borderId="2" xfId="0" applyNumberFormat="1" applyFont="1" applyBorder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8"/>
  <sheetViews>
    <sheetView tabSelected="1" workbookViewId="0" topLeftCell="A1"/>
  </sheetViews>
  <sheetFormatPr defaultColWidth="11.255" defaultRowHeight="16" outlineLevelRow="3"/>
  <cols>
    <col min="1" max="1" width="30.75" style="42" customWidth="1"/>
    <col min="2" max="2" width="11" style="42" customWidth="1"/>
    <col min="3" max="3" width="11.75" style="42" customWidth="1"/>
    <col min="4" max="4" width="9.25" style="42" customWidth="1"/>
    <col min="5" max="5" width="16.125" style="42" customWidth="1"/>
    <col min="6" max="6" width="7.5" style="42" customWidth="1"/>
    <col min="7" max="7" width="16.125" style="42" customWidth="1"/>
    <col min="8" max="8" width="15.25" style="42" customWidth="1"/>
    <col min="9" max="9" width="16.125" style="42" customWidth="1"/>
  </cols>
  <sheetData>
    <row r="1" spans="1:1" ht="16">
      <c r="A1" s="31" t="s">
        <v>0</v>
      </c>
    </row>
    <row r="2" spans="1:1" ht="16">
      <c r="A2" s="32" t="s">
        <v>1</v>
      </c>
    </row>
    <row r="3" spans="1:1" ht="16">
      <c r="A3" s="33" t="s">
        <v>2</v>
      </c>
    </row>
    <row r="5" spans="1:9" ht="16">
      <c r="A5" s="44" t="s">
        <v>56</v>
      </c>
      <c r="B5" s="44" t="s">
        <v>57</v>
      </c>
      <c r="C5" s="44" t="s">
        <v>58</v>
      </c>
      <c r="D5" s="44" t="s">
        <v>59</v>
      </c>
      <c r="E5" s="44" t="s">
        <v>60</v>
      </c>
      <c r="F5" s="44" t="s">
        <v>61</v>
      </c>
      <c r="G5" s="44" t="s">
        <v>62</v>
      </c>
      <c r="H5" s="44" t="s">
        <v>63</v>
      </c>
      <c r="I5" s="44" t="s">
        <v>64</v>
      </c>
    </row>
    <row r="6" spans="1:8" ht="16">
      <c r="A6" s="35" t="s">
        <v>3</v>
      </c>
      <c r="B6" s="45"/>
      <c r="C6" s="45"/>
      <c r="D6" s="45"/>
      <c r="E6" s="45"/>
      <c r="F6" s="45"/>
      <c r="G6" s="45"/>
      <c r="H6" s="45"/>
    </row>
    <row r="7" spans="1:9" ht="16" outlineLevel="1">
      <c r="A7" s="36" t="s">
        <v>4</v>
      </c>
      <c r="B7" s="45"/>
      <c r="C7" s="45"/>
      <c r="D7" s="45"/>
      <c r="E7" s="45"/>
      <c r="F7" s="45"/>
      <c r="G7" s="47">
        <v>2250.0</v>
      </c>
      <c r="H7" s="45"/>
      <c r="I7" s="47">
        <f>B7+C7+D7+E7+F7+G7+H7</f>
        <v>2250.0</v>
      </c>
    </row>
    <row r="8" spans="1:9" ht="16" outlineLevel="1">
      <c r="A8" s="36" t="s">
        <v>5</v>
      </c>
      <c r="B8" s="45"/>
      <c r="C8" s="45"/>
      <c r="D8" s="45"/>
      <c r="E8" s="45"/>
      <c r="F8" s="45"/>
      <c r="G8" s="47">
        <v>-89.5</v>
      </c>
      <c r="H8" s="45"/>
      <c r="I8" s="47">
        <f>B8+C8+D8+E8+F8+G8+H8</f>
        <v>-89.5</v>
      </c>
    </row>
    <row r="9" spans="1:9" ht="16" outlineLevel="1">
      <c r="A9" s="36" t="s">
        <v>6</v>
      </c>
      <c r="B9" s="45"/>
      <c r="C9" s="45"/>
      <c r="D9" s="47">
        <v>190.0</v>
      </c>
      <c r="E9" s="47">
        <v>90.0</v>
      </c>
      <c r="F9" s="47">
        <v>400.0</v>
      </c>
      <c r="G9" s="47">
        <v>710.0</v>
      </c>
      <c r="H9" s="47">
        <v>87.5</v>
      </c>
      <c r="I9" s="47">
        <f>B9+C9+D9+E9+F9+G9+H9</f>
        <v>1477.5</v>
      </c>
    </row>
    <row r="10" spans="1:9" ht="16" outlineLevel="2">
      <c r="A10" s="37" t="s">
        <v>7</v>
      </c>
      <c r="B10" s="45"/>
      <c r="C10" s="45"/>
      <c r="D10" s="45"/>
      <c r="E10" s="45"/>
      <c r="F10" s="45"/>
      <c r="G10" s="45"/>
      <c r="H10" s="45"/>
      <c r="I10" s="47">
        <f>B10+C10+D10+E10+F10+G10+H10</f>
        <v>0.0</v>
      </c>
    </row>
    <row r="11" spans="1:9" ht="16" outlineLevel="3">
      <c r="A11" s="38" t="s">
        <v>8</v>
      </c>
      <c r="B11" s="45"/>
      <c r="C11" s="45"/>
      <c r="D11" s="45"/>
      <c r="E11" s="47">
        <v>323.0</v>
      </c>
      <c r="F11" s="47">
        <v>422.0</v>
      </c>
      <c r="G11" s="47">
        <v>1454.0</v>
      </c>
      <c r="H11" s="47">
        <v>47.5</v>
      </c>
      <c r="I11" s="47">
        <f>B11+C11+D11+E11+F11+G11+H11</f>
        <v>2246.5</v>
      </c>
    </row>
    <row r="12" spans="1:9" ht="16" outlineLevel="3">
      <c r="A12" s="38" t="s">
        <v>9</v>
      </c>
      <c r="B12" s="45"/>
      <c r="C12" s="45"/>
      <c r="D12" s="47">
        <v>131.25</v>
      </c>
      <c r="E12" s="45"/>
      <c r="F12" s="45"/>
      <c r="G12" s="47">
        <v>2120.72</v>
      </c>
      <c r="H12" s="47">
        <v>100.0</v>
      </c>
      <c r="I12" s="47">
        <f>B12+C12+D12+E12+F12+G12+H12</f>
        <v>2351.97</v>
      </c>
    </row>
    <row r="13" spans="1:9" ht="16" outlineLevel="3">
      <c r="A13" s="38" t="s">
        <v>10</v>
      </c>
      <c r="B13" s="45"/>
      <c r="C13" s="45"/>
      <c r="D13" s="45"/>
      <c r="E13" s="47">
        <v>108.0</v>
      </c>
      <c r="F13" s="45"/>
      <c r="G13" s="47">
        <v>30.0</v>
      </c>
      <c r="H13" s="45"/>
      <c r="I13" s="47">
        <f>B13+C13+D13+E13+F13+G13+H13</f>
        <v>138.0</v>
      </c>
    </row>
    <row r="14" spans="1:9" ht="16" outlineLevel="2">
      <c r="A14" s="39" t="s">
        <v>11</v>
      </c>
      <c r="B14" s="46">
        <f>B10+B11+B12+B13</f>
        <v>0.0</v>
      </c>
      <c r="C14" s="46">
        <f>C10+C11+C12+C13</f>
        <v>0.0</v>
      </c>
      <c r="D14" s="46">
        <f>D10+D11+D12+D13</f>
        <v>131.25</v>
      </c>
      <c r="E14" s="46">
        <f>E10+E11+E12+E13</f>
        <v>431.0</v>
      </c>
      <c r="F14" s="46">
        <f>F10+F11+F12+F13</f>
        <v>422.0</v>
      </c>
      <c r="G14" s="46">
        <f>G10+G11+G12+G13</f>
        <v>3604.72</v>
      </c>
      <c r="H14" s="46">
        <f>H10+H11+H12+H13</f>
        <v>147.5</v>
      </c>
      <c r="I14" s="48">
        <f>B14+C14+D14+E14+F14+G14+H14</f>
        <v>4736.469999999999</v>
      </c>
    </row>
    <row r="15" spans="1:9" ht="16" outlineLevel="2">
      <c r="A15" s="37" t="s">
        <v>12</v>
      </c>
      <c r="B15" s="45"/>
      <c r="C15" s="45"/>
      <c r="D15" s="45"/>
      <c r="E15" s="45"/>
      <c r="F15" s="45"/>
      <c r="G15" s="45"/>
      <c r="H15" s="45"/>
      <c r="I15" s="47">
        <f>B15+C15+D15+E15+F15+G15+H15</f>
        <v>0.0</v>
      </c>
    </row>
    <row r="16" spans="1:9" ht="16" outlineLevel="3">
      <c r="A16" s="38" t="s">
        <v>13</v>
      </c>
      <c r="B16" s="45"/>
      <c r="C16" s="45"/>
      <c r="D16" s="45"/>
      <c r="E16" s="45"/>
      <c r="F16" s="45"/>
      <c r="G16" s="47">
        <v>250.0</v>
      </c>
      <c r="H16" s="45"/>
      <c r="I16" s="47">
        <f>B16+C16+D16+E16+F16+G16+H16</f>
        <v>250.0</v>
      </c>
    </row>
    <row r="17" spans="1:9" ht="16" outlineLevel="3">
      <c r="A17" s="38" t="s">
        <v>14</v>
      </c>
      <c r="B17" s="45"/>
      <c r="C17" s="45"/>
      <c r="D17" s="45"/>
      <c r="E17" s="45"/>
      <c r="F17" s="47">
        <v>50.0</v>
      </c>
      <c r="G17" s="45"/>
      <c r="H17" s="45"/>
      <c r="I17" s="47">
        <f>B17+C17+D17+E17+F17+G17+H17</f>
        <v>50.0</v>
      </c>
    </row>
    <row r="18" spans="1:9" ht="16" outlineLevel="2">
      <c r="A18" s="39" t="s">
        <v>15</v>
      </c>
      <c r="B18" s="46">
        <f>B15+B16+B17</f>
        <v>0.0</v>
      </c>
      <c r="C18" s="46">
        <f>C15+C16+C17</f>
        <v>0.0</v>
      </c>
      <c r="D18" s="46">
        <f>D15+D16+D17</f>
        <v>0.0</v>
      </c>
      <c r="E18" s="46">
        <f>E15+E16+E17</f>
        <v>0.0</v>
      </c>
      <c r="F18" s="46">
        <f>F15+F16+F17</f>
        <v>50.0</v>
      </c>
      <c r="G18" s="46">
        <f>G15+G16+G17</f>
        <v>250.0</v>
      </c>
      <c r="H18" s="46">
        <f>H15+H16+H17</f>
        <v>0.0</v>
      </c>
      <c r="I18" s="48">
        <f>B18+C18+D18+E18+F18+G18+H18</f>
        <v>300.0</v>
      </c>
    </row>
    <row r="19" spans="1:9" ht="16" outlineLevel="1">
      <c r="A19" s="40" t="s">
        <v>16</v>
      </c>
      <c r="B19" s="46">
        <f>B9+B14+B18</f>
        <v>0.0</v>
      </c>
      <c r="C19" s="46">
        <f>C9+C14+C18</f>
        <v>0.0</v>
      </c>
      <c r="D19" s="46">
        <f>D9+D14+D18</f>
        <v>321.25</v>
      </c>
      <c r="E19" s="46">
        <f>E9+E14+E18</f>
        <v>521.0</v>
      </c>
      <c r="F19" s="46">
        <f>F9+F14+F18</f>
        <v>872.0</v>
      </c>
      <c r="G19" s="46">
        <f>G9+G14+G18</f>
        <v>4564.719999999999</v>
      </c>
      <c r="H19" s="46">
        <f>H9+H14+H18</f>
        <v>235.0</v>
      </c>
      <c r="I19" s="48">
        <f>B19+C19+D19+E19+F19+G19+H19</f>
        <v>6513.969999999999</v>
      </c>
    </row>
    <row r="20" spans="1:9" ht="16" outlineLevel="1">
      <c r="A20" s="36" t="s">
        <v>17</v>
      </c>
      <c r="B20" s="45"/>
      <c r="C20" s="45"/>
      <c r="D20" s="47">
        <v>70.0</v>
      </c>
      <c r="E20" s="45"/>
      <c r="F20" s="47">
        <v>70.0</v>
      </c>
      <c r="G20" s="47">
        <v>-30.0</v>
      </c>
      <c r="H20" s="45"/>
      <c r="I20" s="47">
        <f>B20+C20+D20+E20+F20+G20+H20</f>
        <v>110.0</v>
      </c>
    </row>
    <row r="21" spans="1:9" ht="16" outlineLevel="1">
      <c r="A21" s="36" t="s">
        <v>18</v>
      </c>
      <c r="B21" s="45"/>
      <c r="C21" s="45"/>
      <c r="D21" s="45"/>
      <c r="E21" s="45"/>
      <c r="F21" s="45"/>
      <c r="G21" s="47">
        <v>44.0</v>
      </c>
      <c r="H21" s="47">
        <v>868.75</v>
      </c>
      <c r="I21" s="47">
        <f>B21+C21+D21+E21+F21+G21+H21</f>
        <v>912.75</v>
      </c>
    </row>
    <row r="22" spans="1:9" ht="16" outlineLevel="1">
      <c r="A22" s="36" t="s">
        <v>19</v>
      </c>
      <c r="B22" s="45"/>
      <c r="C22" s="45"/>
      <c r="D22" s="45"/>
      <c r="E22" s="45"/>
      <c r="F22" s="45"/>
      <c r="G22" s="47">
        <v>503.55</v>
      </c>
      <c r="H22" s="45"/>
      <c r="I22" s="47">
        <f>B22+C22+D22+E22+F22+G22+H22</f>
        <v>503.55</v>
      </c>
    </row>
    <row r="23" spans="1:9" ht="16">
      <c r="A23" s="41" t="s">
        <v>20</v>
      </c>
      <c r="B23" s="46">
        <f>B7+B8+B19+B20+B21+B22</f>
        <v>0.0</v>
      </c>
      <c r="C23" s="46">
        <f>C7+C8+C19+C20+C21+C22</f>
        <v>0.0</v>
      </c>
      <c r="D23" s="46">
        <f>D7+D8+D19+D20+D21+D22</f>
        <v>391.25</v>
      </c>
      <c r="E23" s="46">
        <f>E7+E8+E19+E20+E21+E22</f>
        <v>521.0</v>
      </c>
      <c r="F23" s="46">
        <f>F7+F8+F19+F20+F21+F22</f>
        <v>942.0</v>
      </c>
      <c r="G23" s="46">
        <f>G7+G8+G19+G20+G21+G22</f>
        <v>7242.7699999999995</v>
      </c>
      <c r="H23" s="46">
        <f>H7+H8+H19+H20+H21+H22</f>
        <v>1103.75</v>
      </c>
      <c r="I23" s="48">
        <f>B23+C23+D23+E23+F23+G23+H23</f>
        <v>10200.77</v>
      </c>
    </row>
    <row r="24" spans="1:8" ht="16">
      <c r="A24" s="35" t="s">
        <v>21</v>
      </c>
      <c r="B24" s="45"/>
      <c r="C24" s="45"/>
      <c r="D24" s="45"/>
      <c r="E24" s="45"/>
      <c r="F24" s="45"/>
      <c r="G24" s="45"/>
      <c r="H24" s="45"/>
    </row>
    <row r="25" spans="1:9" ht="16" outlineLevel="1">
      <c r="A25" s="36" t="s">
        <v>21</v>
      </c>
      <c r="B25" s="45"/>
      <c r="C25" s="45"/>
      <c r="D25" s="45"/>
      <c r="E25" s="45"/>
      <c r="F25" s="45"/>
      <c r="G25" s="45"/>
      <c r="H25" s="47">
        <v>405.0</v>
      </c>
      <c r="I25" s="47">
        <f>B25+C25+D25+E25+F25+G25+H25</f>
        <v>405.0</v>
      </c>
    </row>
    <row r="26" spans="1:9" ht="16">
      <c r="A26" s="41" t="s">
        <v>22</v>
      </c>
      <c r="B26" s="46">
        <f>B25</f>
        <v>0.0</v>
      </c>
      <c r="C26" s="46">
        <f>C25</f>
        <v>0.0</v>
      </c>
      <c r="D26" s="46">
        <f>D25</f>
        <v>0.0</v>
      </c>
      <c r="E26" s="46">
        <f>E25</f>
        <v>0.0</v>
      </c>
      <c r="F26" s="46">
        <f>F25</f>
        <v>0.0</v>
      </c>
      <c r="G26" s="46">
        <f>G25</f>
        <v>0.0</v>
      </c>
      <c r="H26" s="46">
        <f>H25</f>
        <v>405.0</v>
      </c>
      <c r="I26" s="48">
        <f>B26+C26+D26+E26+F26+G26+H26</f>
        <v>405.0</v>
      </c>
    </row>
    <row r="27" spans="1:9" ht="16">
      <c r="A27" s="41" t="s">
        <v>23</v>
      </c>
      <c r="B27" s="46">
        <f>B23-B26</f>
        <v>0.0</v>
      </c>
      <c r="C27" s="46">
        <f>C23-C26</f>
        <v>0.0</v>
      </c>
      <c r="D27" s="46">
        <f>D23-D26</f>
        <v>391.25</v>
      </c>
      <c r="E27" s="46">
        <f>E23-E26</f>
        <v>521.0</v>
      </c>
      <c r="F27" s="46">
        <f>F23-F26</f>
        <v>942.0</v>
      </c>
      <c r="G27" s="46">
        <f>G23-G26</f>
        <v>7242.7699999999995</v>
      </c>
      <c r="H27" s="46">
        <f>H23-H26</f>
        <v>698.75</v>
      </c>
      <c r="I27" s="48">
        <f>B27+C27+D27+E27+F27+G27+H27</f>
        <v>9795.77</v>
      </c>
    </row>
    <row r="28" spans="1:8" ht="16">
      <c r="A28" s="35" t="s">
        <v>24</v>
      </c>
      <c r="B28" s="45"/>
      <c r="C28" s="45"/>
      <c r="D28" s="45"/>
      <c r="E28" s="45"/>
      <c r="F28" s="45"/>
      <c r="G28" s="45"/>
      <c r="H28" s="45"/>
    </row>
    <row r="29" spans="1:9" ht="16" outlineLevel="1">
      <c r="A29" s="36" t="s">
        <v>25</v>
      </c>
      <c r="B29" s="45"/>
      <c r="C29" s="45"/>
      <c r="D29" s="45"/>
      <c r="E29" s="45"/>
      <c r="F29" s="45"/>
      <c r="G29" s="47">
        <v>74.86</v>
      </c>
      <c r="H29" s="45"/>
      <c r="I29" s="47">
        <f>B29+C29+D29+E29+F29+G29+H29</f>
        <v>74.86</v>
      </c>
    </row>
    <row r="30" spans="1:9" ht="16" outlineLevel="1">
      <c r="A30" s="36" t="s">
        <v>26</v>
      </c>
      <c r="B30" s="45"/>
      <c r="C30" s="45"/>
      <c r="D30" s="45"/>
      <c r="E30" s="45"/>
      <c r="F30" s="45"/>
      <c r="G30" s="47">
        <v>39.98</v>
      </c>
      <c r="H30" s="47">
        <v>73.98</v>
      </c>
      <c r="I30" s="47">
        <f>B30+C30+D30+E30+F30+G30+H30</f>
        <v>113.96000000000001</v>
      </c>
    </row>
    <row r="31" spans="1:9" ht="16" outlineLevel="2">
      <c r="A31" s="37" t="s">
        <v>27</v>
      </c>
      <c r="B31" s="45"/>
      <c r="C31" s="45"/>
      <c r="D31" s="45"/>
      <c r="E31" s="45"/>
      <c r="F31" s="47">
        <v>116.56</v>
      </c>
      <c r="G31" s="47">
        <v>180.29</v>
      </c>
      <c r="H31" s="47">
        <v>52.56</v>
      </c>
      <c r="I31" s="47">
        <f>B31+C31+D31+E31+F31+G31+H31</f>
        <v>349.41</v>
      </c>
    </row>
    <row r="32" spans="1:9" ht="16" outlineLevel="1">
      <c r="A32" s="40" t="s">
        <v>28</v>
      </c>
      <c r="B32" s="46">
        <f>B30+B31</f>
        <v>0.0</v>
      </c>
      <c r="C32" s="46">
        <f>C30+C31</f>
        <v>0.0</v>
      </c>
      <c r="D32" s="46">
        <f>D30+D31</f>
        <v>0.0</v>
      </c>
      <c r="E32" s="46">
        <f>E30+E31</f>
        <v>0.0</v>
      </c>
      <c r="F32" s="46">
        <f>F30+F31</f>
        <v>116.56</v>
      </c>
      <c r="G32" s="46">
        <f>G30+G31</f>
        <v>220.26999999999998</v>
      </c>
      <c r="H32" s="46">
        <f>H30+H31</f>
        <v>126.54</v>
      </c>
      <c r="I32" s="48">
        <f>B32+C32+D32+E32+F32+G32+H32</f>
        <v>463.37</v>
      </c>
    </row>
    <row r="33" spans="1:9" ht="16" outlineLevel="1">
      <c r="A33" s="36" t="s">
        <v>29</v>
      </c>
      <c r="B33" s="45"/>
      <c r="C33" s="45"/>
      <c r="D33" s="45"/>
      <c r="E33" s="45"/>
      <c r="F33" s="45"/>
      <c r="G33" s="47">
        <v>112.0</v>
      </c>
      <c r="H33" s="45"/>
      <c r="I33" s="47">
        <f>B33+C33+D33+E33+F33+G33+H33</f>
        <v>112.0</v>
      </c>
    </row>
    <row r="34" spans="1:9" ht="16" outlineLevel="1">
      <c r="A34" s="36" t="s">
        <v>30</v>
      </c>
      <c r="B34" s="45"/>
      <c r="C34" s="45"/>
      <c r="D34" s="45"/>
      <c r="E34" s="45"/>
      <c r="F34" s="45"/>
      <c r="G34" s="47">
        <v>241.23</v>
      </c>
      <c r="H34" s="45"/>
      <c r="I34" s="47">
        <f>B34+C34+D34+E34+F34+G34+H34</f>
        <v>241.23</v>
      </c>
    </row>
    <row r="35" spans="1:9" ht="16" outlineLevel="1">
      <c r="A35" s="36" t="s">
        <v>31</v>
      </c>
      <c r="B35" s="45"/>
      <c r="C35" s="45"/>
      <c r="D35" s="45"/>
      <c r="E35" s="45"/>
      <c r="F35" s="47">
        <v>108.09</v>
      </c>
      <c r="G35" s="47">
        <v>46.98</v>
      </c>
      <c r="H35" s="45"/>
      <c r="I35" s="47">
        <f>B35+C35+D35+E35+F35+G35+H35</f>
        <v>155.07</v>
      </c>
    </row>
    <row r="36" spans="1:9" ht="16" outlineLevel="2">
      <c r="A36" s="37" t="s">
        <v>7</v>
      </c>
      <c r="B36" s="45"/>
      <c r="C36" s="45"/>
      <c r="D36" s="45"/>
      <c r="E36" s="45"/>
      <c r="F36" s="45"/>
      <c r="G36" s="45"/>
      <c r="H36" s="45"/>
      <c r="I36" s="47">
        <f>B36+C36+D36+E36+F36+G36+H36</f>
        <v>0.0</v>
      </c>
    </row>
    <row r="37" spans="1:9" ht="16" outlineLevel="3">
      <c r="A37" s="38" t="s">
        <v>32</v>
      </c>
      <c r="B37" s="45"/>
      <c r="C37" s="45"/>
      <c r="D37" s="45"/>
      <c r="E37" s="45"/>
      <c r="F37" s="45"/>
      <c r="G37" s="47">
        <v>191.64</v>
      </c>
      <c r="H37" s="47">
        <v>42.4</v>
      </c>
      <c r="I37" s="47">
        <f>B37+C37+D37+E37+F37+G37+H37</f>
        <v>234.04</v>
      </c>
    </row>
    <row r="38" spans="1:9" ht="16" outlineLevel="3">
      <c r="A38" s="38" t="s">
        <v>9</v>
      </c>
      <c r="B38" s="45"/>
      <c r="C38" s="45"/>
      <c r="D38" s="45"/>
      <c r="E38" s="47">
        <v>158.08</v>
      </c>
      <c r="F38" s="47">
        <v>89.09</v>
      </c>
      <c r="G38" s="47">
        <v>82.45</v>
      </c>
      <c r="H38" s="47">
        <v>23.5</v>
      </c>
      <c r="I38" s="47">
        <f>B38+C38+D38+E38+F38+G38+H38</f>
        <v>353.12</v>
      </c>
    </row>
    <row r="39" spans="1:9" ht="16" outlineLevel="3">
      <c r="A39" s="38" t="s">
        <v>10</v>
      </c>
      <c r="B39" s="45"/>
      <c r="C39" s="45"/>
      <c r="D39" s="45"/>
      <c r="E39" s="45"/>
      <c r="F39" s="45"/>
      <c r="G39" s="47">
        <v>215.66</v>
      </c>
      <c r="H39" s="45"/>
      <c r="I39" s="47">
        <f>B39+C39+D39+E39+F39+G39+H39</f>
        <v>215.66</v>
      </c>
    </row>
    <row r="40" spans="1:9" ht="16" outlineLevel="2">
      <c r="A40" s="39" t="s">
        <v>11</v>
      </c>
      <c r="B40" s="46">
        <f>B36+B37+B38+B39</f>
        <v>0.0</v>
      </c>
      <c r="C40" s="46">
        <f>C36+C37+C38+C39</f>
        <v>0.0</v>
      </c>
      <c r="D40" s="46">
        <f>D36+D37+D38+D39</f>
        <v>0.0</v>
      </c>
      <c r="E40" s="46">
        <f>E36+E37+E38+E39</f>
        <v>158.08</v>
      </c>
      <c r="F40" s="46">
        <f>F36+F37+F38+F39</f>
        <v>89.09</v>
      </c>
      <c r="G40" s="46">
        <f>G36+G37+G38+G39</f>
        <v>489.75</v>
      </c>
      <c r="H40" s="46">
        <f>H36+H37+H38+H39</f>
        <v>65.9</v>
      </c>
      <c r="I40" s="48">
        <f>B40+C40+D40+E40+F40+G40+H40</f>
        <v>802.82</v>
      </c>
    </row>
    <row r="41" spans="1:9" ht="16" outlineLevel="1">
      <c r="A41" s="40" t="s">
        <v>33</v>
      </c>
      <c r="B41" s="46">
        <f>B35+B40</f>
        <v>0.0</v>
      </c>
      <c r="C41" s="46">
        <f>C35+C40</f>
        <v>0.0</v>
      </c>
      <c r="D41" s="46">
        <f>D35+D40</f>
        <v>0.0</v>
      </c>
      <c r="E41" s="46">
        <f>E35+E40</f>
        <v>158.08</v>
      </c>
      <c r="F41" s="46">
        <f>F35+F40</f>
        <v>197.18</v>
      </c>
      <c r="G41" s="46">
        <f>G35+G40</f>
        <v>536.73</v>
      </c>
      <c r="H41" s="46">
        <f>H35+H40</f>
        <v>65.9</v>
      </c>
      <c r="I41" s="48">
        <f>B41+C41+D41+E41+F41+G41+H41</f>
        <v>957.89</v>
      </c>
    </row>
    <row r="42" spans="1:9" ht="16" outlineLevel="1">
      <c r="A42" s="36" t="s">
        <v>34</v>
      </c>
      <c r="B42" s="45"/>
      <c r="C42" s="45"/>
      <c r="D42" s="45"/>
      <c r="E42" s="45"/>
      <c r="F42" s="45"/>
      <c r="G42" s="45"/>
      <c r="H42" s="47">
        <v>75.0</v>
      </c>
      <c r="I42" s="47">
        <f>B42+C42+D42+E42+F42+G42+H42</f>
        <v>75.0</v>
      </c>
    </row>
    <row r="43" spans="1:9" ht="16" outlineLevel="2">
      <c r="A43" s="37" t="s">
        <v>35</v>
      </c>
      <c r="B43" s="45"/>
      <c r="C43" s="45"/>
      <c r="D43" s="45"/>
      <c r="E43" s="47">
        <v>250.0</v>
      </c>
      <c r="F43" s="45"/>
      <c r="G43" s="47">
        <v>75.0</v>
      </c>
      <c r="H43" s="47">
        <v>315.0</v>
      </c>
      <c r="I43" s="47">
        <f>B43+C43+D43+E43+F43+G43+H43</f>
        <v>640.0</v>
      </c>
    </row>
    <row r="44" spans="1:9" ht="16" outlineLevel="2">
      <c r="A44" s="37" t="s">
        <v>36</v>
      </c>
      <c r="B44" s="45"/>
      <c r="C44" s="45"/>
      <c r="D44" s="45"/>
      <c r="E44" s="45"/>
      <c r="F44" s="47">
        <v>55.0</v>
      </c>
      <c r="G44" s="45"/>
      <c r="H44" s="45"/>
      <c r="I44" s="47">
        <f>B44+C44+D44+E44+F44+G44+H44</f>
        <v>55.0</v>
      </c>
    </row>
    <row r="45" spans="1:9" ht="16" outlineLevel="2">
      <c r="A45" s="37" t="s">
        <v>37</v>
      </c>
      <c r="B45" s="45"/>
      <c r="C45" s="47">
        <v>300.0</v>
      </c>
      <c r="D45" s="45"/>
      <c r="E45" s="45"/>
      <c r="F45" s="45"/>
      <c r="G45" s="47">
        <v>100.0</v>
      </c>
      <c r="H45" s="45"/>
      <c r="I45" s="47">
        <f>B45+C45+D45+E45+F45+G45+H45</f>
        <v>400.0</v>
      </c>
    </row>
    <row r="46" spans="1:9" ht="16" outlineLevel="1">
      <c r="A46" s="40" t="s">
        <v>38</v>
      </c>
      <c r="B46" s="46">
        <f>B42+B43+B44+B45</f>
        <v>0.0</v>
      </c>
      <c r="C46" s="46">
        <f>C42+C43+C44+C45</f>
        <v>300.0</v>
      </c>
      <c r="D46" s="46">
        <f>D42+D43+D44+D45</f>
        <v>0.0</v>
      </c>
      <c r="E46" s="46">
        <f>E42+E43+E44+E45</f>
        <v>250.0</v>
      </c>
      <c r="F46" s="46">
        <f>F42+F43+F44+F45</f>
        <v>55.0</v>
      </c>
      <c r="G46" s="46">
        <f>G42+G43+G44+G45</f>
        <v>175.0</v>
      </c>
      <c r="H46" s="46">
        <f>H42+H43+H44+H45</f>
        <v>390.0</v>
      </c>
      <c r="I46" s="48">
        <f>B46+C46+D46+E46+F46+G46+H46</f>
        <v>1170.0</v>
      </c>
    </row>
    <row r="47" spans="1:9" ht="16" outlineLevel="1">
      <c r="A47" s="36" t="s">
        <v>14</v>
      </c>
      <c r="B47" s="45"/>
      <c r="C47" s="45"/>
      <c r="D47" s="45"/>
      <c r="E47" s="45"/>
      <c r="F47" s="45"/>
      <c r="G47" s="47">
        <v>185.0</v>
      </c>
      <c r="H47" s="45"/>
      <c r="I47" s="47">
        <f>B47+C47+D47+E47+F47+G47+H47</f>
        <v>185.0</v>
      </c>
    </row>
    <row r="48" spans="1:9" ht="16" outlineLevel="2">
      <c r="A48" s="37" t="s">
        <v>39</v>
      </c>
      <c r="B48" s="45"/>
      <c r="C48" s="45"/>
      <c r="D48" s="45"/>
      <c r="E48" s="45"/>
      <c r="F48" s="45"/>
      <c r="G48" s="47">
        <v>755.0</v>
      </c>
      <c r="H48" s="45"/>
      <c r="I48" s="47">
        <f>B48+C48+D48+E48+F48+G48+H48</f>
        <v>755.0</v>
      </c>
    </row>
    <row r="49" spans="1:9" ht="16" outlineLevel="1">
      <c r="A49" s="40" t="s">
        <v>40</v>
      </c>
      <c r="B49" s="46">
        <f>B47+B48</f>
        <v>0.0</v>
      </c>
      <c r="C49" s="46">
        <f>C47+C48</f>
        <v>0.0</v>
      </c>
      <c r="D49" s="46">
        <f>D47+D48</f>
        <v>0.0</v>
      </c>
      <c r="E49" s="46">
        <f>E47+E48</f>
        <v>0.0</v>
      </c>
      <c r="F49" s="46">
        <f>F47+F48</f>
        <v>0.0</v>
      </c>
      <c r="G49" s="46">
        <f>G47+G48</f>
        <v>940.0</v>
      </c>
      <c r="H49" s="46">
        <f>H47+H48</f>
        <v>0.0</v>
      </c>
      <c r="I49" s="48">
        <f>B49+C49+D49+E49+F49+G49+H49</f>
        <v>940.0</v>
      </c>
    </row>
    <row r="50" spans="1:9" ht="16" outlineLevel="1">
      <c r="A50" s="36" t="s">
        <v>41</v>
      </c>
      <c r="B50" s="45"/>
      <c r="C50" s="45"/>
      <c r="D50" s="45"/>
      <c r="E50" s="45"/>
      <c r="F50" s="45"/>
      <c r="G50" s="47">
        <v>9.52</v>
      </c>
      <c r="H50" s="47">
        <v>18.97</v>
      </c>
      <c r="I50" s="47">
        <f>B50+C50+D50+E50+F50+G50+H50</f>
        <v>28.49</v>
      </c>
    </row>
    <row r="51" spans="1:9" ht="16" outlineLevel="1">
      <c r="A51" s="36" t="s">
        <v>42</v>
      </c>
      <c r="B51" s="45"/>
      <c r="C51" s="45"/>
      <c r="D51" s="45"/>
      <c r="E51" s="45"/>
      <c r="F51" s="45"/>
      <c r="G51" s="47">
        <v>18.08</v>
      </c>
      <c r="H51" s="45"/>
      <c r="I51" s="47">
        <f>B51+C51+D51+E51+F51+G51+H51</f>
        <v>18.08</v>
      </c>
    </row>
    <row r="52" spans="1:9" ht="16" outlineLevel="1">
      <c r="A52" s="36" t="s">
        <v>43</v>
      </c>
      <c r="B52" s="45"/>
      <c r="C52" s="45"/>
      <c r="D52" s="45"/>
      <c r="E52" s="45"/>
      <c r="F52" s="45"/>
      <c r="G52" s="47">
        <v>900.0</v>
      </c>
      <c r="H52" s="45"/>
      <c r="I52" s="47">
        <f>B52+C52+D52+E52+F52+G52+H52</f>
        <v>900.0</v>
      </c>
    </row>
    <row r="53" spans="1:9" ht="16" outlineLevel="1">
      <c r="A53" s="36" t="s">
        <v>44</v>
      </c>
      <c r="B53" s="45"/>
      <c r="C53" s="45"/>
      <c r="D53" s="45"/>
      <c r="E53" s="45"/>
      <c r="F53" s="45"/>
      <c r="G53" s="45"/>
      <c r="H53" s="45"/>
      <c r="I53" s="47">
        <f>B53+C53+D53+E53+F53+G53+H53</f>
        <v>0.0</v>
      </c>
    </row>
    <row r="54" spans="1:9" ht="16" outlineLevel="2">
      <c r="A54" s="37" t="s">
        <v>45</v>
      </c>
      <c r="B54" s="45"/>
      <c r="C54" s="45"/>
      <c r="D54" s="45"/>
      <c r="E54" s="45"/>
      <c r="F54" s="47">
        <v>86.44</v>
      </c>
      <c r="G54" s="47">
        <v>114.09</v>
      </c>
      <c r="H54" s="45"/>
      <c r="I54" s="47">
        <f>B54+C54+D54+E54+F54+G54+H54</f>
        <v>200.53</v>
      </c>
    </row>
    <row r="55" spans="1:9" ht="16" outlineLevel="2">
      <c r="A55" s="37" t="s">
        <v>46</v>
      </c>
      <c r="B55" s="45"/>
      <c r="C55" s="45"/>
      <c r="D55" s="45"/>
      <c r="E55" s="45"/>
      <c r="F55" s="47">
        <v>56.5</v>
      </c>
      <c r="G55" s="47">
        <v>74.36</v>
      </c>
      <c r="H55" s="45"/>
      <c r="I55" s="47">
        <f>B55+C55+D55+E55+F55+G55+H55</f>
        <v>130.86</v>
      </c>
    </row>
    <row r="56" spans="1:9" ht="16" outlineLevel="1">
      <c r="A56" s="40" t="s">
        <v>47</v>
      </c>
      <c r="B56" s="46">
        <f>B53+B54+B55</f>
        <v>0.0</v>
      </c>
      <c r="C56" s="46">
        <f>C53+C54+C55</f>
        <v>0.0</v>
      </c>
      <c r="D56" s="46">
        <f>D53+D54+D55</f>
        <v>0.0</v>
      </c>
      <c r="E56" s="46">
        <f>E53+E54+E55</f>
        <v>0.0</v>
      </c>
      <c r="F56" s="46">
        <f>F53+F54+F55</f>
        <v>142.94</v>
      </c>
      <c r="G56" s="46">
        <f>G53+G54+G55</f>
        <v>188.45</v>
      </c>
      <c r="H56" s="46">
        <f>H53+H54+H55</f>
        <v>0.0</v>
      </c>
      <c r="I56" s="48">
        <f>B56+C56+D56+E56+F56+G56+H56</f>
        <v>331.39</v>
      </c>
    </row>
    <row r="57" spans="1:9" ht="16">
      <c r="A57" s="41" t="s">
        <v>48</v>
      </c>
      <c r="B57" s="46">
        <f>B29+B32+B33+B34+B41+B46+B49+B50+B51+B52+B56</f>
        <v>0.0</v>
      </c>
      <c r="C57" s="46">
        <f>C29+C32+C33+C34+C41+C46+C49+C50+C51+C52+C56</f>
        <v>300.0</v>
      </c>
      <c r="D57" s="46">
        <f>D29+D32+D33+D34+D41+D46+D49+D50+D51+D52+D56</f>
        <v>0.0</v>
      </c>
      <c r="E57" s="46">
        <f>E29+E32+E33+E34+E41+E46+E49+E50+E51+E52+E56</f>
        <v>408.08000000000004</v>
      </c>
      <c r="F57" s="46">
        <f>F29+F32+F33+F34+F41+F46+F49+F50+F51+F52+F56</f>
        <v>511.68</v>
      </c>
      <c r="G57" s="46">
        <f>G29+G32+G33+G34+G41+G46+G49+G50+G51+G52+G56</f>
        <v>3416.14</v>
      </c>
      <c r="H57" s="46">
        <f>H29+H32+H33+H34+H41+H46+H49+H50+H51+H52+H56</f>
        <v>601.4100000000001</v>
      </c>
      <c r="I57" s="48">
        <f>B57+C57+D57+E57+F57+G57+H57</f>
        <v>5237.3099999999995</v>
      </c>
    </row>
    <row r="58" spans="1:9" ht="16">
      <c r="A58" s="41" t="s">
        <v>49</v>
      </c>
      <c r="B58" s="46">
        <f>B27-B57</f>
        <v>0.0</v>
      </c>
      <c r="C58" s="46">
        <f>C27-C57</f>
        <v>-300.0</v>
      </c>
      <c r="D58" s="46">
        <f>D27-D57</f>
        <v>391.25</v>
      </c>
      <c r="E58" s="46">
        <f>E27-E57</f>
        <v>112.91999999999996</v>
      </c>
      <c r="F58" s="46">
        <f>F27-F57</f>
        <v>430.32</v>
      </c>
      <c r="G58" s="46">
        <f>G27-G57</f>
        <v>3826.6299999999997</v>
      </c>
      <c r="H58" s="46">
        <f>H27-H57</f>
        <v>97.33999999999992</v>
      </c>
      <c r="I58" s="48">
        <f>B58+C58+D58+E58+F58+G58+H58</f>
        <v>4558.46</v>
      </c>
    </row>
    <row r="59" spans="1:9" ht="16">
      <c r="A59" s="35" t="s">
        <v>50</v>
      </c>
      <c r="B59" s="45"/>
      <c r="C59" s="45"/>
      <c r="D59" s="45"/>
      <c r="E59" s="45"/>
      <c r="F59" s="45"/>
      <c r="G59" s="45"/>
      <c r="H59" s="45"/>
      <c r="I59" s="45"/>
    </row>
    <row r="60" spans="1:8" ht="16">
      <c r="A60" s="35" t="s">
        <v>51</v>
      </c>
      <c r="B60" s="45"/>
      <c r="C60" s="45"/>
      <c r="D60" s="45"/>
      <c r="E60" s="45"/>
      <c r="F60" s="45"/>
      <c r="G60" s="45"/>
      <c r="H60" s="45"/>
    </row>
    <row r="61" spans="1:9" ht="16" outlineLevel="1">
      <c r="A61" s="36" t="s">
        <v>52</v>
      </c>
      <c r="B61" s="45"/>
      <c r="C61" s="45"/>
      <c r="D61" s="45"/>
      <c r="E61" s="45"/>
      <c r="F61" s="47">
        <v>250.0</v>
      </c>
      <c r="G61" s="47">
        <v>2666.0</v>
      </c>
      <c r="H61" s="45"/>
      <c r="I61" s="47">
        <f>B61+C61+D61+E61+F61+G61+H61</f>
        <v>2916.0</v>
      </c>
    </row>
    <row r="62" spans="1:9" ht="16">
      <c r="A62" s="41" t="s">
        <v>53</v>
      </c>
      <c r="B62" s="46">
        <f>B61</f>
        <v>0.0</v>
      </c>
      <c r="C62" s="46">
        <f>C61</f>
        <v>0.0</v>
      </c>
      <c r="D62" s="46">
        <f>D61</f>
        <v>0.0</v>
      </c>
      <c r="E62" s="46">
        <f>E61</f>
        <v>0.0</v>
      </c>
      <c r="F62" s="46">
        <f>F61</f>
        <v>250.0</v>
      </c>
      <c r="G62" s="46">
        <f>G61</f>
        <v>2666.0</v>
      </c>
      <c r="H62" s="46">
        <f>H61</f>
        <v>0.0</v>
      </c>
      <c r="I62" s="48">
        <f>B62+C62+D62+E62+F62+G62+H62</f>
        <v>2916.0</v>
      </c>
    </row>
    <row r="63" spans="1:9" ht="16">
      <c r="A63" s="41" t="s">
        <v>54</v>
      </c>
      <c r="B63" s="46">
        <f>B59-B62</f>
        <v>0.0</v>
      </c>
      <c r="C63" s="46">
        <f>C59-C62</f>
        <v>0.0</v>
      </c>
      <c r="D63" s="46">
        <f>D59-D62</f>
        <v>0.0</v>
      </c>
      <c r="E63" s="46">
        <f>E59-E62</f>
        <v>0.0</v>
      </c>
      <c r="F63" s="46">
        <f>F59-F62</f>
        <v>-250.0</v>
      </c>
      <c r="G63" s="46">
        <f>G59-G62</f>
        <v>-2666.0</v>
      </c>
      <c r="H63" s="46">
        <f>H59-H62</f>
        <v>0.0</v>
      </c>
      <c r="I63" s="48">
        <f>B63+C63+D63+E63+F63+G63+H63</f>
        <v>-2916.0</v>
      </c>
    </row>
    <row r="64" spans="1:9" ht="16">
      <c r="A64" s="41" t="s">
        <v>55</v>
      </c>
      <c r="B64" s="46">
        <f>B58+B63</f>
        <v>0.0</v>
      </c>
      <c r="C64" s="46">
        <f>C58+C63</f>
        <v>-300.0</v>
      </c>
      <c r="D64" s="46">
        <f>D58+D63</f>
        <v>391.25</v>
      </c>
      <c r="E64" s="46">
        <f>E58+E63</f>
        <v>112.91999999999996</v>
      </c>
      <c r="F64" s="46">
        <f>F58+F63</f>
        <v>180.32</v>
      </c>
      <c r="G64" s="46">
        <f>G58+G63</f>
        <v>1160.6299999999997</v>
      </c>
      <c r="H64" s="46">
        <f>H58+H63</f>
        <v>97.33999999999992</v>
      </c>
      <c r="I64" s="48">
        <f>B64+C64+D64+E64+F64+G64+H64</f>
        <v>1642.4599999999996</v>
      </c>
    </row>
    <row r="68" spans="1:1" ht="16">
      <c r="A68" s="49" t="s">
        <v>65</v>
      </c>
    </row>
  </sheetData>
  <mergeCells count="4">
    <mergeCell ref="A1:I1"/>
    <mergeCell ref="A2:I2"/>
    <mergeCell ref="A3:I3"/>
    <mergeCell ref="A68:I6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